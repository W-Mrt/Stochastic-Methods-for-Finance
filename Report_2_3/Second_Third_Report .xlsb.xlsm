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Questa_cartella_di_lavoro" defaultThemeVersion="166925"/>
  <mc:AlternateContent xmlns:mc="http://schemas.openxmlformats.org/markup-compatibility/2006">
    <mc:Choice Requires="x15">
      <x15ac:absPath xmlns:x15ac="http://schemas.microsoft.com/office/spreadsheetml/2010/11/ac" url="C:\Users\Utente\Desktop\STOCHASTIC METHODS FOR FINANCE\"/>
    </mc:Choice>
  </mc:AlternateContent>
  <xr:revisionPtr revIDLastSave="0" documentId="13_ncr:1_{E5B03926-AD5C-4A6D-945D-89DF288A3F7C}" xr6:coauthVersionLast="47" xr6:coauthVersionMax="47" xr10:uidLastSave="{00000000-0000-0000-0000-000000000000}"/>
  <bookViews>
    <workbookView xWindow="-108" yWindow="-108" windowWidth="23256" windowHeight="12456" xr2:uid="{9745874B-013C-4540-A3F5-3BDF22F35A84}"/>
  </bookViews>
  <sheets>
    <sheet name="Foglio1" sheetId="1" r:id="rId1"/>
    <sheet name="Foglio2"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11" i="2" l="1" a="1"/>
  <c r="D13" i="2" a="1"/>
  <c r="D15" i="2" a="1"/>
  <c r="D17" i="2" a="1"/>
  <c r="D19" i="2" a="1"/>
  <c r="D21" i="2" a="1"/>
  <c r="D23" i="2" a="1"/>
  <c r="D25" i="2" a="1"/>
  <c r="D27" i="2" a="1"/>
  <c r="D29" i="2" a="1"/>
  <c r="D16" i="2" a="1"/>
  <c r="D18" i="2" a="1"/>
  <c r="D20" i="2" a="1"/>
  <c r="D22" i="2" a="1"/>
  <c r="D24" i="2" a="1"/>
  <c r="D26" i="2" a="1"/>
  <c r="D28" i="2" a="1"/>
  <c r="D14" i="2" a="1"/>
  <c r="D12" i="2" a="1"/>
  <c r="D10" i="2" a="1"/>
  <c r="D111" i="2" a="1"/>
  <c r="D113" i="2" a="1"/>
  <c r="D115" i="2" a="1"/>
  <c r="D117" i="2" a="1"/>
  <c r="D119" i="2" a="1"/>
  <c r="D121" i="2" a="1"/>
  <c r="D123" i="2" a="1"/>
  <c r="D125" i="2" a="1"/>
  <c r="D127" i="2" a="1"/>
  <c r="D129" i="2" a="1"/>
  <c r="D118" i="2" a="1"/>
  <c r="D120" i="2" a="1"/>
  <c r="D124" i="2" a="1"/>
  <c r="D128" i="2" a="1"/>
  <c r="D114" i="2" a="1"/>
  <c r="D126" i="2" a="1"/>
  <c r="D112" i="2" a="1"/>
  <c r="D116" i="2" a="1"/>
  <c r="D122" i="2" a="1"/>
  <c r="D110" i="2" a="1"/>
  <c r="D12" i="2" l="1"/>
  <c r="D14" i="2"/>
  <c r="D28" i="2"/>
  <c r="D26" i="2"/>
  <c r="D24" i="2"/>
  <c r="D22" i="2"/>
  <c r="D20" i="2"/>
  <c r="D18" i="2"/>
  <c r="D16" i="2"/>
  <c r="D29" i="2"/>
  <c r="D27" i="2"/>
  <c r="D25" i="2"/>
  <c r="D23" i="2"/>
  <c r="D21" i="2"/>
  <c r="D19" i="2"/>
  <c r="D17" i="2"/>
  <c r="D15" i="2"/>
  <c r="D13" i="2"/>
  <c r="D11" i="2"/>
  <c r="D10" i="2"/>
  <c r="D122" i="2"/>
  <c r="D116" i="2"/>
  <c r="D112" i="2"/>
  <c r="D126" i="2"/>
  <c r="D114" i="2"/>
  <c r="D128" i="2"/>
  <c r="D124" i="2"/>
  <c r="D120" i="2"/>
  <c r="D118" i="2"/>
  <c r="D129" i="2"/>
  <c r="D127" i="2"/>
  <c r="D125" i="2"/>
  <c r="D123" i="2"/>
  <c r="D121" i="2"/>
  <c r="D119" i="2"/>
  <c r="D117" i="2"/>
  <c r="D115" i="2"/>
  <c r="D113" i="2"/>
  <c r="D111" i="2"/>
  <c r="D110" i="2"/>
  <c r="G110" i="2" s="1"/>
  <c r="F116" i="2" l="1"/>
  <c r="G117" i="2"/>
  <c r="F125" i="2"/>
  <c r="G126" i="2"/>
  <c r="G115" i="2"/>
  <c r="F114" i="2"/>
  <c r="F119" i="2"/>
  <c r="G120" i="2"/>
  <c r="G119" i="2"/>
  <c r="F118" i="2"/>
  <c r="F111" i="2"/>
  <c r="G112" i="2"/>
  <c r="F124" i="2"/>
  <c r="G125" i="2"/>
  <c r="G111" i="2"/>
  <c r="F110" i="2"/>
  <c r="G127" i="2"/>
  <c r="F126" i="2"/>
  <c r="F123" i="2"/>
  <c r="G124" i="2"/>
  <c r="F112" i="2"/>
  <c r="G113" i="2"/>
  <c r="F120" i="2"/>
  <c r="G121" i="2"/>
  <c r="F128" i="2"/>
  <c r="G129" i="2"/>
  <c r="F127" i="2"/>
  <c r="G128" i="2"/>
  <c r="F115" i="2"/>
  <c r="G116" i="2"/>
  <c r="G123" i="2"/>
  <c r="F122" i="2"/>
  <c r="G118" i="2"/>
  <c r="F117" i="2"/>
  <c r="F113" i="2"/>
  <c r="G114" i="2"/>
  <c r="F121" i="2"/>
  <c r="G122" i="2"/>
  <c r="G29" i="2"/>
  <c r="G11" i="2"/>
  <c r="G12" i="2"/>
  <c r="G13" i="2"/>
  <c r="G14" i="2"/>
  <c r="G15" i="2"/>
  <c r="G16" i="2"/>
  <c r="G17" i="2"/>
  <c r="G18" i="2"/>
  <c r="G19" i="2"/>
  <c r="G20" i="2"/>
  <c r="G21" i="2"/>
  <c r="G22" i="2"/>
  <c r="G23" i="2"/>
  <c r="G24" i="2"/>
  <c r="G25" i="2"/>
  <c r="G26" i="2"/>
  <c r="G27" i="2"/>
  <c r="G28" i="2"/>
  <c r="F11" i="2"/>
  <c r="F12" i="2"/>
  <c r="F13" i="2"/>
  <c r="F14" i="2"/>
  <c r="F15" i="2"/>
  <c r="F16" i="2"/>
  <c r="F17" i="2"/>
  <c r="F18" i="2"/>
  <c r="F19" i="2"/>
  <c r="F20" i="2"/>
  <c r="F21" i="2"/>
  <c r="F22" i="2"/>
  <c r="F23" i="2"/>
  <c r="F24" i="2"/>
  <c r="F25" i="2"/>
  <c r="F26" i="2"/>
  <c r="F27" i="2"/>
  <c r="F28" i="2"/>
  <c r="P23" i="1" l="1"/>
  <c r="M18" i="1"/>
  <c r="M17" i="1"/>
  <c r="P10" i="1"/>
  <c r="M5" i="1"/>
  <c r="M4" i="1"/>
  <c r="G46" i="1"/>
  <c r="D41" i="1"/>
  <c r="D40" i="1"/>
  <c r="G33" i="1"/>
  <c r="D28" i="1"/>
  <c r="D27" i="1"/>
  <c r="D42" i="1" l="1"/>
  <c r="D29" i="1"/>
  <c r="C36" i="1"/>
  <c r="M19" i="1"/>
  <c r="L26" i="1" s="1"/>
  <c r="M6" i="1"/>
  <c r="C49" i="1"/>
  <c r="L13" i="1"/>
  <c r="F10" i="2" l="1"/>
  <c r="G10"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<sst xmlns="http://schemas.openxmlformats.org/spreadsheetml/2006/main" count="104" uniqueCount="42">
  <si>
    <t>T=2/12</t>
  </si>
  <si>
    <t>k1</t>
  </si>
  <si>
    <t>k2</t>
  </si>
  <si>
    <t>call</t>
  </si>
  <si>
    <t>put</t>
  </si>
  <si>
    <t>k2-k1</t>
  </si>
  <si>
    <t>dis_fac</t>
  </si>
  <si>
    <t>box_spr</t>
  </si>
  <si>
    <t>D(0,T)</t>
  </si>
  <si>
    <t>call - put</t>
  </si>
  <si>
    <t>F(0,T)=s*exp(rT)-div</t>
  </si>
  <si>
    <t>D(0,T)*( F(0,T)- K)=c - p</t>
  </si>
  <si>
    <t>Call - Put =s - K*D(0,T) - s*exp(qT)*D(0,T)</t>
  </si>
  <si>
    <t>S</t>
  </si>
  <si>
    <t>div=s*exp(qT)</t>
  </si>
  <si>
    <t>k</t>
  </si>
  <si>
    <t>T=10/12</t>
  </si>
  <si>
    <t>T=3/12</t>
  </si>
  <si>
    <t>r</t>
  </si>
  <si>
    <t>vol</t>
  </si>
  <si>
    <t>T</t>
  </si>
  <si>
    <t>K</t>
  </si>
  <si>
    <t>n</t>
  </si>
  <si>
    <t>opt</t>
  </si>
  <si>
    <t>ex</t>
  </si>
  <si>
    <t>C</t>
  </si>
  <si>
    <t>BSCall(Stock, Exercise, Rate, Sigma, Time)</t>
  </si>
  <si>
    <t>E</t>
  </si>
  <si>
    <t>CRRTree(Spot, K, T, rf, vol, n, OpType, ExType)</t>
  </si>
  <si>
    <t>CRRTree</t>
  </si>
  <si>
    <t>B&amp;S</t>
  </si>
  <si>
    <t>rate</t>
  </si>
  <si>
    <t>leis-reim</t>
  </si>
  <si>
    <t>LeisenReimerTrunc(AmeEur, CallPut, S , K , T , r , b, v , n)</t>
  </si>
  <si>
    <t>error</t>
  </si>
  <si>
    <t>b = cost of carry</t>
  </si>
  <si>
    <t>T=5/12</t>
  </si>
  <si>
    <t>20/05/2022</t>
  </si>
  <si>
    <t>Colonna1</t>
  </si>
  <si>
    <t>17/06/2022</t>
  </si>
  <si>
    <t>19/08/2022</t>
  </si>
  <si>
    <t>20/01/2023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</si>
</sst>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rgb="FF232A31"/>
      <name val="Arial"/>
      <family val="2"/>
    </font>
    <font>
      <sz val="11"/>
      <color rgb="FF232A3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14" fontId="2" fillId="0" borderId="0" xfId="0" applyNumberFormat="1" applyFont="1"/>
    <xf numFmtId="3" fontId="1" fillId="0" borderId="0" xfId="0" applyNumberFormat="1" applyFont="1"/>
    <xf numFmtId="9" fontId="0" fillId="0" borderId="0" xfId="0" applyNumberFormat="1"/>
    <xf numFmtId="3" fontId="0" fillId="0" borderId="0" xfId="0" applyNumberFormat="1"/>
  </cellXfs>
  <cellStyles count="1">
    <cellStyle name="Normale" xfId="0" builtinId="0"/>
  </cellStyles>
  <dxfs count="2">
    <dxf>
      <numFmt numFmtId="13" formatCode="0%"/>
    </dxf>
    <dxf>
      <numFmt numFmtId="1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t-IT"/>
              <a:t>CRR</a:t>
            </a:r>
            <a:r>
              <a:rPr lang="it-IT" baseline="0"/>
              <a:t> convergence to B&amp;S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scatterChart>
        <c:scatterStyle val="smoothMarker"/>
        <c:varyColors val="0"/>
        <c:ser>
          <c:idx val="0"/>
          <c:order val="0"/>
          <c:tx>
            <c:strRef>
              <c:f>Foglio2!$E$9</c:f>
              <c:strCache>
                <c:ptCount val="1"/>
                <c:pt idx="0">
                  <c:v>B&amp;S</c:v>
                </c:pt>
              </c:strCache>
            </c:strRef>
          </c:tx>
          <c:spPr>
            <a:ln w="19050" cap="rnd">
              <a:solidFill>
                <a:schemeClr val="accent1"/>
              </a:solidFill>
              <a:round/>
            </a:ln>
            <a:effectLst/>
          </c:spPr>
          <c:marker>
            <c:symbol val="none"/>
          </c:marker>
          <c:dPt>
            <c:idx val="0"/>
            <c:marker>
              <c:symbol val="none"/>
            </c:marker>
            <c:bubble3D val="0"/>
            <c:spPr>
              <a:ln w="19050" cap="rnd">
                <a:solidFill>
                  <a:schemeClr val="accent1"/>
                </a:solidFill>
                <a:round/>
              </a:ln>
              <a:effectLst/>
            </c:spPr>
            <c:extLst>
              <c:ext xmlns:c16="http://schemas.microsoft.com/office/drawing/2014/chart" uri="{C3380CC4-5D6E-409C-BE32-E72D297353CC}">
                <c16:uniqueId val="{00000001-55F7-45D5-BBDE-9A765505D407}"/>
              </c:ext>
            </c:extLst>
          </c:dPt>
          <c:xVal>
            <c:numRef>
              <c:f>Foglio2!$C$10:$C$29</c:f>
              <c:numCache>
                <c:formatCode>General</c:formatCode>
                <c:ptCount val="20"/>
                <c:pt idx="0">
                  <c:v>10</c:v>
                </c:pt>
                <c:pt idx="1">
                  <c:v>21</c:v>
                </c:pt>
                <c:pt idx="2">
                  <c:v>30</c:v>
                </c:pt>
                <c:pt idx="3">
                  <c:v>41</c:v>
                </c:pt>
                <c:pt idx="4">
                  <c:v>50</c:v>
                </c:pt>
                <c:pt idx="5">
                  <c:v>61</c:v>
                </c:pt>
                <c:pt idx="6">
                  <c:v>70</c:v>
                </c:pt>
                <c:pt idx="7">
                  <c:v>81</c:v>
                </c:pt>
                <c:pt idx="8">
                  <c:v>90</c:v>
                </c:pt>
                <c:pt idx="9">
                  <c:v>101</c:v>
                </c:pt>
                <c:pt idx="10">
                  <c:v>110</c:v>
                </c:pt>
                <c:pt idx="11">
                  <c:v>121</c:v>
                </c:pt>
                <c:pt idx="12">
                  <c:v>130</c:v>
                </c:pt>
                <c:pt idx="13">
                  <c:v>141</c:v>
                </c:pt>
                <c:pt idx="14">
                  <c:v>150</c:v>
                </c:pt>
                <c:pt idx="15">
                  <c:v>161</c:v>
                </c:pt>
                <c:pt idx="16">
                  <c:v>170</c:v>
                </c:pt>
                <c:pt idx="17">
                  <c:v>181</c:v>
                </c:pt>
                <c:pt idx="18">
                  <c:v>190</c:v>
                </c:pt>
                <c:pt idx="19">
                  <c:v>201</c:v>
                </c:pt>
              </c:numCache>
            </c:numRef>
          </c:xVal>
          <c:yVal>
            <c:numRef>
              <c:f>Foglio2!$E$10:$E$29</c:f>
              <c:numCache>
                <c:formatCode>General</c:formatCode>
                <c:ptCount val="20"/>
                <c:pt idx="0">
                  <c:v>8.4333186901096084</c:v>
                </c:pt>
                <c:pt idx="1">
                  <c:v>8.4333186901096084</c:v>
                </c:pt>
                <c:pt idx="2">
                  <c:v>8.4333186901096084</c:v>
                </c:pt>
                <c:pt idx="3">
                  <c:v>8.4333186901096084</c:v>
                </c:pt>
                <c:pt idx="4">
                  <c:v>8.4333186901096084</c:v>
                </c:pt>
                <c:pt idx="5">
                  <c:v>8.4333186901096084</c:v>
                </c:pt>
                <c:pt idx="6">
                  <c:v>8.4333186901096084</c:v>
                </c:pt>
                <c:pt idx="7">
                  <c:v>8.4333186901096084</c:v>
                </c:pt>
                <c:pt idx="8">
                  <c:v>8.4333186901096084</c:v>
                </c:pt>
                <c:pt idx="9">
                  <c:v>8.4333186901096084</c:v>
                </c:pt>
                <c:pt idx="10">
                  <c:v>8.4333186901096084</c:v>
                </c:pt>
                <c:pt idx="11">
                  <c:v>8.4333186901096084</c:v>
                </c:pt>
                <c:pt idx="12">
                  <c:v>8.4333186901096084</c:v>
                </c:pt>
                <c:pt idx="13">
                  <c:v>8.4333186901096084</c:v>
                </c:pt>
                <c:pt idx="14">
                  <c:v>8.4333186901096084</c:v>
                </c:pt>
                <c:pt idx="15">
                  <c:v>8.4333186901096084</c:v>
                </c:pt>
                <c:pt idx="16">
                  <c:v>8.4333186901096084</c:v>
                </c:pt>
                <c:pt idx="17">
                  <c:v>8.4333186901096084</c:v>
                </c:pt>
                <c:pt idx="18">
                  <c:v>8.4333186901096084</c:v>
                </c:pt>
                <c:pt idx="19">
                  <c:v>8.4333186901096084</c:v>
                </c:pt>
              </c:numCache>
            </c:numRef>
          </c:yVal>
          <c:smooth val="1"/>
          <c:extLst>
            <c:ext xmlns:c16="http://schemas.microsoft.com/office/drawing/2014/chart" uri="{C3380CC4-5D6E-409C-BE32-E72D297353CC}">
              <c16:uniqueId val="{00000000-278F-4DFD-ACE3-C554AD7D8A56}"/>
            </c:ext>
          </c:extLst>
        </c:ser>
        <c:ser>
          <c:idx val="1"/>
          <c:order val="1"/>
          <c:tx>
            <c:v>CRR</c:v>
          </c:tx>
          <c:spPr>
            <a:ln w="19050" cap="rnd">
              <a:solidFill>
                <a:schemeClr val="accent2"/>
              </a:solidFill>
              <a:round/>
            </a:ln>
            <a:effectLst/>
          </c:spPr>
          <c:marker>
            <c:symbol val="none"/>
          </c:marker>
          <c:xVal>
            <c:numRef>
              <c:f>Foglio2!$C$10:$C$29</c:f>
              <c:numCache>
                <c:formatCode>General</c:formatCode>
                <c:ptCount val="20"/>
                <c:pt idx="0">
                  <c:v>10</c:v>
                </c:pt>
                <c:pt idx="1">
                  <c:v>21</c:v>
                </c:pt>
                <c:pt idx="2">
                  <c:v>30</c:v>
                </c:pt>
                <c:pt idx="3">
                  <c:v>41</c:v>
                </c:pt>
                <c:pt idx="4">
                  <c:v>50</c:v>
                </c:pt>
                <c:pt idx="5">
                  <c:v>61</c:v>
                </c:pt>
                <c:pt idx="6">
                  <c:v>70</c:v>
                </c:pt>
                <c:pt idx="7">
                  <c:v>81</c:v>
                </c:pt>
                <c:pt idx="8">
                  <c:v>90</c:v>
                </c:pt>
                <c:pt idx="9">
                  <c:v>101</c:v>
                </c:pt>
                <c:pt idx="10">
                  <c:v>110</c:v>
                </c:pt>
                <c:pt idx="11">
                  <c:v>121</c:v>
                </c:pt>
                <c:pt idx="12">
                  <c:v>130</c:v>
                </c:pt>
                <c:pt idx="13">
                  <c:v>141</c:v>
                </c:pt>
                <c:pt idx="14">
                  <c:v>150</c:v>
                </c:pt>
                <c:pt idx="15">
                  <c:v>161</c:v>
                </c:pt>
                <c:pt idx="16">
                  <c:v>170</c:v>
                </c:pt>
                <c:pt idx="17">
                  <c:v>181</c:v>
                </c:pt>
                <c:pt idx="18">
                  <c:v>190</c:v>
                </c:pt>
                <c:pt idx="19">
                  <c:v>201</c:v>
                </c:pt>
              </c:numCache>
            </c:numRef>
          </c:xVal>
          <c:yVal>
            <c:numRef>
              <c:f>Foglio2!$D$10:$D$29</c:f>
              <c:numCache>
                <c:formatCode>General</c:formatCode>
                <c:ptCount val="20"/>
                <c:pt idx="0">
                  <c:v>8.2377064813940635</c:v>
                </c:pt>
                <c:pt idx="1">
                  <c:v>8.5272099533886774</c:v>
                </c:pt>
                <c:pt idx="2">
                  <c:v>8.3674755134396381</c:v>
                </c:pt>
                <c:pt idx="3">
                  <c:v>8.4812848904302189</c:v>
                </c:pt>
                <c:pt idx="4">
                  <c:v>8.3937423023647018</c:v>
                </c:pt>
                <c:pt idx="5">
                  <c:v>8.4655281794486879</c:v>
                </c:pt>
                <c:pt idx="6">
                  <c:v>8.4050287372726125</c:v>
                </c:pt>
                <c:pt idx="7">
                  <c:v>8.4575635607104864</c:v>
                </c:pt>
                <c:pt idx="8">
                  <c:v>8.4113063701233823</c:v>
                </c:pt>
                <c:pt idx="9">
                  <c:v>8.452756900064454</c:v>
                </c:pt>
                <c:pt idx="10">
                  <c:v>8.4153039412992126</c:v>
                </c:pt>
                <c:pt idx="11">
                  <c:v>8.4495407726590983</c:v>
                </c:pt>
                <c:pt idx="12">
                  <c:v>8.4180727174363295</c:v>
                </c:pt>
                <c:pt idx="13">
                  <c:v>8.4472377935921177</c:v>
                </c:pt>
                <c:pt idx="14">
                  <c:v>8.4201037878480438</c:v>
                </c:pt>
                <c:pt idx="15">
                  <c:v>8.4455074093387612</c:v>
                </c:pt>
                <c:pt idx="16">
                  <c:v>8.4216573202398344</c:v>
                </c:pt>
                <c:pt idx="17">
                  <c:v>8.4441596847408196</c:v>
                </c:pt>
                <c:pt idx="18">
                  <c:v>8.4228840134710534</c:v>
                </c:pt>
                <c:pt idx="19">
                  <c:v>8.443080325131616</c:v>
                </c:pt>
              </c:numCache>
            </c:numRef>
          </c:yVal>
          <c:smooth val="1"/>
          <c:extLst>
            <c:ext xmlns:c16="http://schemas.microsoft.com/office/drawing/2014/chart" uri="{C3380CC4-5D6E-409C-BE32-E72D297353CC}">
              <c16:uniqueId val="{00000002-278F-4DFD-ACE3-C554AD7D8A56}"/>
            </c:ext>
          </c:extLst>
        </c:ser>
        <c:dLbls>
          <c:showLegendKey val="0"/>
          <c:showVal val="0"/>
          <c:showCatName val="0"/>
          <c:showSerName val="0"/>
          <c:showPercent val="0"/>
          <c:showBubbleSize val="0"/>
        </c:dLbls>
        <c:axId val="703526303"/>
        <c:axId val="703529215"/>
      </c:scatterChart>
      <c:valAx>
        <c:axId val="703526303"/>
        <c:scaling>
          <c:orientation val="minMax"/>
          <c:max val="2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703529215"/>
        <c:crosses val="autoZero"/>
        <c:crossBetween val="midCat"/>
      </c:valAx>
      <c:valAx>
        <c:axId val="7035292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7035263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t-IT"/>
              <a:t>rate of convergence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scatterChart>
        <c:scatterStyle val="smoothMarker"/>
        <c:varyColors val="0"/>
        <c:ser>
          <c:idx val="0"/>
          <c:order val="0"/>
          <c:spPr>
            <a:ln w="19050" cap="rnd">
              <a:solidFill>
                <a:srgbClr val="C00000"/>
              </a:solidFill>
              <a:round/>
            </a:ln>
            <a:effectLst/>
          </c:spPr>
          <c:marker>
            <c:symbol val="none"/>
          </c:marker>
          <c:xVal>
            <c:numRef>
              <c:f>Foglio2!$C$10:$C$29</c:f>
              <c:numCache>
                <c:formatCode>General</c:formatCode>
                <c:ptCount val="20"/>
                <c:pt idx="0">
                  <c:v>10</c:v>
                </c:pt>
                <c:pt idx="1">
                  <c:v>21</c:v>
                </c:pt>
                <c:pt idx="2">
                  <c:v>30</c:v>
                </c:pt>
                <c:pt idx="3">
                  <c:v>41</c:v>
                </c:pt>
                <c:pt idx="4">
                  <c:v>50</c:v>
                </c:pt>
                <c:pt idx="5">
                  <c:v>61</c:v>
                </c:pt>
                <c:pt idx="6">
                  <c:v>70</c:v>
                </c:pt>
                <c:pt idx="7">
                  <c:v>81</c:v>
                </c:pt>
                <c:pt idx="8">
                  <c:v>90</c:v>
                </c:pt>
                <c:pt idx="9">
                  <c:v>101</c:v>
                </c:pt>
                <c:pt idx="10">
                  <c:v>110</c:v>
                </c:pt>
                <c:pt idx="11">
                  <c:v>121</c:v>
                </c:pt>
                <c:pt idx="12">
                  <c:v>130</c:v>
                </c:pt>
                <c:pt idx="13">
                  <c:v>141</c:v>
                </c:pt>
                <c:pt idx="14">
                  <c:v>150</c:v>
                </c:pt>
                <c:pt idx="15">
                  <c:v>161</c:v>
                </c:pt>
                <c:pt idx="16">
                  <c:v>170</c:v>
                </c:pt>
                <c:pt idx="17">
                  <c:v>181</c:v>
                </c:pt>
                <c:pt idx="18">
                  <c:v>190</c:v>
                </c:pt>
                <c:pt idx="19">
                  <c:v>201</c:v>
                </c:pt>
              </c:numCache>
            </c:numRef>
          </c:xVal>
          <c:yVal>
            <c:numRef>
              <c:f>Foglio2!$F$10:$F$29</c:f>
              <c:numCache>
                <c:formatCode>General</c:formatCode>
                <c:ptCount val="20"/>
                <c:pt idx="0">
                  <c:v>0.47998672422130656</c:v>
                </c:pt>
                <c:pt idx="1">
                  <c:v>0.70127053753944579</c:v>
                </c:pt>
                <c:pt idx="2">
                  <c:v>0.72849158783808921</c:v>
                </c:pt>
                <c:pt idx="3">
                  <c:v>0.82508907272984866</c:v>
                </c:pt>
                <c:pt idx="4">
                  <c:v>0.8138562201959586</c:v>
                </c:pt>
                <c:pt idx="5">
                  <c:v>0.87831112561825364</c:v>
                </c:pt>
                <c:pt idx="6">
                  <c:v>0.85701346837071901</c:v>
                </c:pt>
                <c:pt idx="7">
                  <c:v>0.90791657949409565</c:v>
                </c:pt>
                <c:pt idx="8">
                  <c:v>0.88306048462900588</c:v>
                </c:pt>
                <c:pt idx="9">
                  <c:v>0.92676994703954996</c:v>
                </c:pt>
                <c:pt idx="10">
                  <c:v>0.9004889671361106</c:v>
                </c:pt>
                <c:pt idx="11">
                  <c:v>0.93982832517138315</c:v>
                </c:pt>
                <c:pt idx="12">
                  <c:v>0.91296920050924046</c:v>
                </c:pt>
                <c:pt idx="13">
                  <c:v>0.94940757342385507</c:v>
                </c:pt>
                <c:pt idx="14">
                  <c:v>0.92234652878239554</c:v>
                </c:pt>
                <c:pt idx="15">
                  <c:v>0.95673463721131591</c:v>
                </c:pt>
                <c:pt idx="16">
                  <c:v>0.92965018280662548</c:v>
                </c:pt>
                <c:pt idx="17">
                  <c:v>0.96252022932597647</c:v>
                </c:pt>
                <c:pt idx="18">
                  <c:v>0.93549952338142917</c:v>
                </c:pt>
              </c:numCache>
            </c:numRef>
          </c:yVal>
          <c:smooth val="1"/>
          <c:extLst>
            <c:ext xmlns:c16="http://schemas.microsoft.com/office/drawing/2014/chart" uri="{C3380CC4-5D6E-409C-BE32-E72D297353CC}">
              <c16:uniqueId val="{00000000-778E-49CF-B5DE-8DDF0F3FB681}"/>
            </c:ext>
          </c:extLst>
        </c:ser>
        <c:dLbls>
          <c:showLegendKey val="0"/>
          <c:showVal val="0"/>
          <c:showCatName val="0"/>
          <c:showSerName val="0"/>
          <c:showPercent val="0"/>
          <c:showBubbleSize val="0"/>
        </c:dLbls>
        <c:axId val="924990559"/>
        <c:axId val="924990975"/>
      </c:scatterChart>
      <c:valAx>
        <c:axId val="924990559"/>
        <c:scaling>
          <c:orientation val="minMax"/>
          <c:max val="2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924990975"/>
        <c:crosses val="autoZero"/>
        <c:crossBetween val="midCat"/>
      </c:valAx>
      <c:valAx>
        <c:axId val="9249909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92499055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t-IT"/>
              <a:t>Error</a:t>
            </a:r>
            <a:r>
              <a:rPr lang="it-IT" baseline="0"/>
              <a:t> plot</a:t>
            </a:r>
          </a:p>
          <a:p>
            <a:pPr>
              <a:defRPr/>
            </a:pPr>
            <a:endParaRPr lang="it-IT"/>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scatterChart>
        <c:scatterStyle val="smoothMarker"/>
        <c:varyColors val="0"/>
        <c:ser>
          <c:idx val="0"/>
          <c:order val="0"/>
          <c:spPr>
            <a:ln w="19050" cap="rnd">
              <a:solidFill>
                <a:srgbClr val="C00000"/>
              </a:solidFill>
              <a:round/>
            </a:ln>
            <a:effectLst/>
          </c:spPr>
          <c:marker>
            <c:symbol val="none"/>
          </c:marker>
          <c:xVal>
            <c:numRef>
              <c:f>Foglio2!$C$10:$C$29</c:f>
              <c:numCache>
                <c:formatCode>General</c:formatCode>
                <c:ptCount val="20"/>
                <c:pt idx="0">
                  <c:v>10</c:v>
                </c:pt>
                <c:pt idx="1">
                  <c:v>21</c:v>
                </c:pt>
                <c:pt idx="2">
                  <c:v>30</c:v>
                </c:pt>
                <c:pt idx="3">
                  <c:v>41</c:v>
                </c:pt>
                <c:pt idx="4">
                  <c:v>50</c:v>
                </c:pt>
                <c:pt idx="5">
                  <c:v>61</c:v>
                </c:pt>
                <c:pt idx="6">
                  <c:v>70</c:v>
                </c:pt>
                <c:pt idx="7">
                  <c:v>81</c:v>
                </c:pt>
                <c:pt idx="8">
                  <c:v>90</c:v>
                </c:pt>
                <c:pt idx="9">
                  <c:v>101</c:v>
                </c:pt>
                <c:pt idx="10">
                  <c:v>110</c:v>
                </c:pt>
                <c:pt idx="11">
                  <c:v>121</c:v>
                </c:pt>
                <c:pt idx="12">
                  <c:v>130</c:v>
                </c:pt>
                <c:pt idx="13">
                  <c:v>141</c:v>
                </c:pt>
                <c:pt idx="14">
                  <c:v>150</c:v>
                </c:pt>
                <c:pt idx="15">
                  <c:v>161</c:v>
                </c:pt>
                <c:pt idx="16">
                  <c:v>170</c:v>
                </c:pt>
                <c:pt idx="17">
                  <c:v>181</c:v>
                </c:pt>
                <c:pt idx="18">
                  <c:v>190</c:v>
                </c:pt>
                <c:pt idx="19">
                  <c:v>201</c:v>
                </c:pt>
              </c:numCache>
            </c:numRef>
          </c:xVal>
          <c:yVal>
            <c:numRef>
              <c:f>Foglio2!$G$10:$G$29</c:f>
              <c:numCache>
                <c:formatCode>General</c:formatCode>
                <c:ptCount val="20"/>
                <c:pt idx="0">
                  <c:v>0.19561220871554497</c:v>
                </c:pt>
                <c:pt idx="1">
                  <c:v>9.3891263279068937E-2</c:v>
                </c:pt>
                <c:pt idx="2">
                  <c:v>6.5843176669970305E-2</c:v>
                </c:pt>
                <c:pt idx="3">
                  <c:v>4.7966200320610497E-2</c:v>
                </c:pt>
                <c:pt idx="4">
                  <c:v>3.9576387744906683E-2</c:v>
                </c:pt>
                <c:pt idx="5">
                  <c:v>3.2209489339079411E-2</c:v>
                </c:pt>
                <c:pt idx="6">
                  <c:v>2.828995283699598E-2</c:v>
                </c:pt>
                <c:pt idx="7">
                  <c:v>2.4244870600877988E-2</c:v>
                </c:pt>
                <c:pt idx="8">
                  <c:v>2.2012319986226103E-2</c:v>
                </c:pt>
                <c:pt idx="9">
                  <c:v>1.9438209954845576E-2</c:v>
                </c:pt>
                <c:pt idx="10">
                  <c:v>1.8014748810395886E-2</c:v>
                </c:pt>
                <c:pt idx="11">
                  <c:v>1.6222082549489869E-2</c:v>
                </c:pt>
                <c:pt idx="12">
                  <c:v>1.5245972673278985E-2</c:v>
                </c:pt>
                <c:pt idx="13">
                  <c:v>1.3919103482509243E-2</c:v>
                </c:pt>
                <c:pt idx="14">
                  <c:v>1.3214902261564632E-2</c:v>
                </c:pt>
                <c:pt idx="15">
                  <c:v>1.2188719229152767E-2</c:v>
                </c:pt>
                <c:pt idx="16">
                  <c:v>1.1661369869774063E-2</c:v>
                </c:pt>
                <c:pt idx="17">
                  <c:v>1.0840994631211132E-2</c:v>
                </c:pt>
                <c:pt idx="18">
                  <c:v>1.0434676638555018E-2</c:v>
                </c:pt>
                <c:pt idx="19">
                  <c:v>9.7616350220075532E-3</c:v>
                </c:pt>
              </c:numCache>
            </c:numRef>
          </c:yVal>
          <c:smooth val="1"/>
          <c:extLst>
            <c:ext xmlns:c16="http://schemas.microsoft.com/office/drawing/2014/chart" uri="{C3380CC4-5D6E-409C-BE32-E72D297353CC}">
              <c16:uniqueId val="{00000000-71CE-4CEC-97DB-C8DAA186D0D7}"/>
            </c:ext>
          </c:extLst>
        </c:ser>
        <c:dLbls>
          <c:showLegendKey val="0"/>
          <c:showVal val="0"/>
          <c:showCatName val="0"/>
          <c:showSerName val="0"/>
          <c:showPercent val="0"/>
          <c:showBubbleSize val="0"/>
        </c:dLbls>
        <c:axId val="1497840911"/>
        <c:axId val="1497836751"/>
      </c:scatterChart>
      <c:valAx>
        <c:axId val="1497840911"/>
        <c:scaling>
          <c:orientation val="minMax"/>
          <c:max val="2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497836751"/>
        <c:crosses val="autoZero"/>
        <c:crossBetween val="midCat"/>
      </c:valAx>
      <c:valAx>
        <c:axId val="1497836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49784091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t-IT"/>
              <a:t>LeeisenReimer</a:t>
            </a:r>
            <a:r>
              <a:rPr lang="it-IT" baseline="0"/>
              <a:t> convergence to B&amp;S</a:t>
            </a:r>
          </a:p>
          <a:p>
            <a:pPr>
              <a:defRPr/>
            </a:pPr>
            <a:endParaRPr lang="it-IT"/>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scatterChart>
        <c:scatterStyle val="smoothMarker"/>
        <c:varyColors val="0"/>
        <c:ser>
          <c:idx val="0"/>
          <c:order val="0"/>
          <c:spPr>
            <a:ln w="19050" cap="rnd">
              <a:solidFill>
                <a:schemeClr val="accent2"/>
              </a:solidFill>
              <a:round/>
            </a:ln>
            <a:effectLst/>
          </c:spPr>
          <c:marker>
            <c:symbol val="none"/>
          </c:marker>
          <c:xVal>
            <c:numRef>
              <c:f>Foglio2!$C$110:$C$129</c:f>
              <c:numCache>
                <c:formatCode>General</c:formatCode>
                <c:ptCount val="20"/>
                <c:pt idx="0">
                  <c:v>10</c:v>
                </c:pt>
                <c:pt idx="1">
                  <c:v>21</c:v>
                </c:pt>
                <c:pt idx="2">
                  <c:v>30</c:v>
                </c:pt>
                <c:pt idx="3">
                  <c:v>41</c:v>
                </c:pt>
                <c:pt idx="4">
                  <c:v>50</c:v>
                </c:pt>
                <c:pt idx="5">
                  <c:v>61</c:v>
                </c:pt>
                <c:pt idx="6">
                  <c:v>70</c:v>
                </c:pt>
                <c:pt idx="7">
                  <c:v>81</c:v>
                </c:pt>
                <c:pt idx="8">
                  <c:v>90</c:v>
                </c:pt>
                <c:pt idx="9">
                  <c:v>101</c:v>
                </c:pt>
                <c:pt idx="10">
                  <c:v>110</c:v>
                </c:pt>
                <c:pt idx="11">
                  <c:v>121</c:v>
                </c:pt>
                <c:pt idx="12">
                  <c:v>130</c:v>
                </c:pt>
                <c:pt idx="13">
                  <c:v>141</c:v>
                </c:pt>
                <c:pt idx="14">
                  <c:v>150</c:v>
                </c:pt>
                <c:pt idx="15">
                  <c:v>161</c:v>
                </c:pt>
                <c:pt idx="16">
                  <c:v>170</c:v>
                </c:pt>
                <c:pt idx="17">
                  <c:v>181</c:v>
                </c:pt>
                <c:pt idx="18">
                  <c:v>190</c:v>
                </c:pt>
                <c:pt idx="19">
                  <c:v>201</c:v>
                </c:pt>
              </c:numCache>
            </c:numRef>
          </c:xVal>
          <c:yVal>
            <c:numRef>
              <c:f>Foglio2!$D$110:$D$129</c:f>
              <c:numCache>
                <c:formatCode>General</c:formatCode>
                <c:ptCount val="20"/>
                <c:pt idx="0">
                  <c:v>8.4303997829056119</c:v>
                </c:pt>
                <c:pt idx="1">
                  <c:v>8.4324686288538029</c:v>
                </c:pt>
                <c:pt idx="2">
                  <c:v>8.4329198006298984</c:v>
                </c:pt>
                <c:pt idx="3">
                  <c:v>8.4330879745363614</c:v>
                </c:pt>
                <c:pt idx="4">
                  <c:v>8.4331685069464193</c:v>
                </c:pt>
                <c:pt idx="5">
                  <c:v>8.4332131998401341</c:v>
                </c:pt>
                <c:pt idx="6">
                  <c:v>8.4332405490925346</c:v>
                </c:pt>
                <c:pt idx="7">
                  <c:v>8.4332584927495695</c:v>
                </c:pt>
                <c:pt idx="8">
                  <c:v>8.4332708969334789</c:v>
                </c:pt>
                <c:pt idx="9">
                  <c:v>8.4332798276504857</c:v>
                </c:pt>
                <c:pt idx="10">
                  <c:v>8.4332864703772099</c:v>
                </c:pt>
                <c:pt idx="11">
                  <c:v>8.4332915448183456</c:v>
                </c:pt>
                <c:pt idx="12">
                  <c:v>8.4332955084457897</c:v>
                </c:pt>
                <c:pt idx="13">
                  <c:v>8.4332986633154565</c:v>
                </c:pt>
                <c:pt idx="14">
                  <c:v>8.4333012153769538</c:v>
                </c:pt>
                <c:pt idx="15">
                  <c:v>8.433303308970272</c:v>
                </c:pt>
                <c:pt idx="16">
                  <c:v>8.4333050476758782</c:v>
                </c:pt>
                <c:pt idx="17">
                  <c:v>8.4333065073999638</c:v>
                </c:pt>
                <c:pt idx="18">
                  <c:v>8.4333077447864699</c:v>
                </c:pt>
                <c:pt idx="19">
                  <c:v>8.4333088027931762</c:v>
                </c:pt>
              </c:numCache>
            </c:numRef>
          </c:yVal>
          <c:smooth val="1"/>
          <c:extLst>
            <c:ext xmlns:c16="http://schemas.microsoft.com/office/drawing/2014/chart" uri="{C3380CC4-5D6E-409C-BE32-E72D297353CC}">
              <c16:uniqueId val="{00000000-59F4-4C58-BC73-D7AD4BB5615B}"/>
            </c:ext>
          </c:extLst>
        </c:ser>
        <c:ser>
          <c:idx val="1"/>
          <c:order val="1"/>
          <c:tx>
            <c:v>B&amp;S</c:v>
          </c:tx>
          <c:spPr>
            <a:ln w="19050" cap="rnd">
              <a:solidFill>
                <a:schemeClr val="accent1"/>
              </a:solidFill>
              <a:round/>
            </a:ln>
            <a:effectLst/>
          </c:spPr>
          <c:marker>
            <c:symbol val="none"/>
          </c:marker>
          <c:xVal>
            <c:numRef>
              <c:f>Foglio2!$C$110:$C$129</c:f>
              <c:numCache>
                <c:formatCode>General</c:formatCode>
                <c:ptCount val="20"/>
                <c:pt idx="0">
                  <c:v>10</c:v>
                </c:pt>
                <c:pt idx="1">
                  <c:v>21</c:v>
                </c:pt>
                <c:pt idx="2">
                  <c:v>30</c:v>
                </c:pt>
                <c:pt idx="3">
                  <c:v>41</c:v>
                </c:pt>
                <c:pt idx="4">
                  <c:v>50</c:v>
                </c:pt>
                <c:pt idx="5">
                  <c:v>61</c:v>
                </c:pt>
                <c:pt idx="6">
                  <c:v>70</c:v>
                </c:pt>
                <c:pt idx="7">
                  <c:v>81</c:v>
                </c:pt>
                <c:pt idx="8">
                  <c:v>90</c:v>
                </c:pt>
                <c:pt idx="9">
                  <c:v>101</c:v>
                </c:pt>
                <c:pt idx="10">
                  <c:v>110</c:v>
                </c:pt>
                <c:pt idx="11">
                  <c:v>121</c:v>
                </c:pt>
                <c:pt idx="12">
                  <c:v>130</c:v>
                </c:pt>
                <c:pt idx="13">
                  <c:v>141</c:v>
                </c:pt>
                <c:pt idx="14">
                  <c:v>150</c:v>
                </c:pt>
                <c:pt idx="15">
                  <c:v>161</c:v>
                </c:pt>
                <c:pt idx="16">
                  <c:v>170</c:v>
                </c:pt>
                <c:pt idx="17">
                  <c:v>181</c:v>
                </c:pt>
                <c:pt idx="18">
                  <c:v>190</c:v>
                </c:pt>
                <c:pt idx="19">
                  <c:v>201</c:v>
                </c:pt>
              </c:numCache>
            </c:numRef>
          </c:xVal>
          <c:yVal>
            <c:numRef>
              <c:f>Foglio2!$E$110:$E$129</c:f>
              <c:numCache>
                <c:formatCode>General</c:formatCode>
                <c:ptCount val="20"/>
                <c:pt idx="0">
                  <c:v>8.4333186901096084</c:v>
                </c:pt>
                <c:pt idx="1">
                  <c:v>8.4333186901096084</c:v>
                </c:pt>
                <c:pt idx="2">
                  <c:v>8.4333186901096084</c:v>
                </c:pt>
                <c:pt idx="3">
                  <c:v>8.4333186901096084</c:v>
                </c:pt>
                <c:pt idx="4">
                  <c:v>8.4333186901096084</c:v>
                </c:pt>
                <c:pt idx="5">
                  <c:v>8.4333186901096084</c:v>
                </c:pt>
                <c:pt idx="6">
                  <c:v>8.4333186901096084</c:v>
                </c:pt>
                <c:pt idx="7">
                  <c:v>8.4333186901096084</c:v>
                </c:pt>
                <c:pt idx="8">
                  <c:v>8.4333186901096084</c:v>
                </c:pt>
                <c:pt idx="9">
                  <c:v>8.4333186901096084</c:v>
                </c:pt>
                <c:pt idx="10">
                  <c:v>8.4333186901096084</c:v>
                </c:pt>
                <c:pt idx="11">
                  <c:v>8.4333186901096084</c:v>
                </c:pt>
                <c:pt idx="12">
                  <c:v>8.4333186901096084</c:v>
                </c:pt>
                <c:pt idx="13">
                  <c:v>8.4333186901096084</c:v>
                </c:pt>
                <c:pt idx="14">
                  <c:v>8.4333186901096084</c:v>
                </c:pt>
                <c:pt idx="15">
                  <c:v>8.4333186901096084</c:v>
                </c:pt>
                <c:pt idx="16">
                  <c:v>8.4333186901096084</c:v>
                </c:pt>
                <c:pt idx="17">
                  <c:v>8.4333186901096084</c:v>
                </c:pt>
                <c:pt idx="18">
                  <c:v>8.4333186901096084</c:v>
                </c:pt>
                <c:pt idx="19">
                  <c:v>8.4333186901096084</c:v>
                </c:pt>
              </c:numCache>
            </c:numRef>
          </c:yVal>
          <c:smooth val="1"/>
          <c:extLst>
            <c:ext xmlns:c16="http://schemas.microsoft.com/office/drawing/2014/chart" uri="{C3380CC4-5D6E-409C-BE32-E72D297353CC}">
              <c16:uniqueId val="{00000002-59F4-4C58-BC73-D7AD4BB5615B}"/>
            </c:ext>
          </c:extLst>
        </c:ser>
        <c:dLbls>
          <c:showLegendKey val="0"/>
          <c:showVal val="0"/>
          <c:showCatName val="0"/>
          <c:showSerName val="0"/>
          <c:showPercent val="0"/>
          <c:showBubbleSize val="0"/>
        </c:dLbls>
        <c:axId val="1877599184"/>
        <c:axId val="1877618736"/>
      </c:scatterChart>
      <c:valAx>
        <c:axId val="1877599184"/>
        <c:scaling>
          <c:orientation val="minMax"/>
          <c:max val="2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877618736"/>
        <c:crosses val="autoZero"/>
        <c:crossBetween val="midCat"/>
      </c:valAx>
      <c:valAx>
        <c:axId val="1877618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8775991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t-IT"/>
              <a:t>LeeisenReimer</a:t>
            </a:r>
            <a:r>
              <a:rPr lang="it-IT" baseline="0"/>
              <a:t> convergence to B&amp;S</a:t>
            </a:r>
          </a:p>
          <a:p>
            <a:pPr>
              <a:defRPr/>
            </a:pPr>
            <a:r>
              <a:rPr lang="it-IT" baseline="0"/>
              <a:t>(</a:t>
            </a:r>
            <a:r>
              <a:rPr lang="it-IT" sz="1400" b="0" i="0" u="none" strike="noStrike" baseline="0">
                <a:effectLst/>
              </a:rPr>
              <a:t>logarithmic scale</a:t>
            </a:r>
            <a:r>
              <a:rPr lang="it-IT" baseline="0"/>
              <a:t>)</a:t>
            </a:r>
          </a:p>
          <a:p>
            <a:pPr>
              <a:defRPr/>
            </a:pPr>
            <a:endParaRPr lang="it-IT"/>
          </a:p>
        </c:rich>
      </c:tx>
      <c:layout>
        <c:manualLayout>
          <c:xMode val="edge"/>
          <c:yMode val="edge"/>
          <c:x val="0.21629855643044618"/>
          <c:y val="4.1899441340782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manualLayout>
          <c:layoutTarget val="inner"/>
          <c:xMode val="edge"/>
          <c:yMode val="edge"/>
          <c:x val="0.11081714785651793"/>
          <c:y val="0.25265363128491614"/>
          <c:w val="0.83962729658792656"/>
          <c:h val="0.63934698455989081"/>
        </c:manualLayout>
      </c:layout>
      <c:scatterChart>
        <c:scatterStyle val="smoothMarker"/>
        <c:varyColors val="0"/>
        <c:ser>
          <c:idx val="0"/>
          <c:order val="0"/>
          <c:spPr>
            <a:ln w="19050" cap="rnd">
              <a:solidFill>
                <a:schemeClr val="accent2"/>
              </a:solidFill>
              <a:round/>
            </a:ln>
            <a:effectLst/>
          </c:spPr>
          <c:marker>
            <c:symbol val="none"/>
          </c:marker>
          <c:xVal>
            <c:numRef>
              <c:f>Foglio2!$C$110:$C$129</c:f>
              <c:numCache>
                <c:formatCode>General</c:formatCode>
                <c:ptCount val="20"/>
                <c:pt idx="0">
                  <c:v>10</c:v>
                </c:pt>
                <c:pt idx="1">
                  <c:v>21</c:v>
                </c:pt>
                <c:pt idx="2">
                  <c:v>30</c:v>
                </c:pt>
                <c:pt idx="3">
                  <c:v>41</c:v>
                </c:pt>
                <c:pt idx="4">
                  <c:v>50</c:v>
                </c:pt>
                <c:pt idx="5">
                  <c:v>61</c:v>
                </c:pt>
                <c:pt idx="6">
                  <c:v>70</c:v>
                </c:pt>
                <c:pt idx="7">
                  <c:v>81</c:v>
                </c:pt>
                <c:pt idx="8">
                  <c:v>90</c:v>
                </c:pt>
                <c:pt idx="9">
                  <c:v>101</c:v>
                </c:pt>
                <c:pt idx="10">
                  <c:v>110</c:v>
                </c:pt>
                <c:pt idx="11">
                  <c:v>121</c:v>
                </c:pt>
                <c:pt idx="12">
                  <c:v>130</c:v>
                </c:pt>
                <c:pt idx="13">
                  <c:v>141</c:v>
                </c:pt>
                <c:pt idx="14">
                  <c:v>150</c:v>
                </c:pt>
                <c:pt idx="15">
                  <c:v>161</c:v>
                </c:pt>
                <c:pt idx="16">
                  <c:v>170</c:v>
                </c:pt>
                <c:pt idx="17">
                  <c:v>181</c:v>
                </c:pt>
                <c:pt idx="18">
                  <c:v>190</c:v>
                </c:pt>
                <c:pt idx="19">
                  <c:v>201</c:v>
                </c:pt>
              </c:numCache>
            </c:numRef>
          </c:xVal>
          <c:yVal>
            <c:numRef>
              <c:f>Foglio2!$D$110:$D$129</c:f>
              <c:numCache>
                <c:formatCode>General</c:formatCode>
                <c:ptCount val="20"/>
                <c:pt idx="0">
                  <c:v>8.4303997829056119</c:v>
                </c:pt>
                <c:pt idx="1">
                  <c:v>8.4324686288538029</c:v>
                </c:pt>
                <c:pt idx="2">
                  <c:v>8.4329198006298984</c:v>
                </c:pt>
                <c:pt idx="3">
                  <c:v>8.4330879745363614</c:v>
                </c:pt>
                <c:pt idx="4">
                  <c:v>8.4331685069464193</c:v>
                </c:pt>
                <c:pt idx="5">
                  <c:v>8.4332131998401341</c:v>
                </c:pt>
                <c:pt idx="6">
                  <c:v>8.4332405490925346</c:v>
                </c:pt>
                <c:pt idx="7">
                  <c:v>8.4332584927495695</c:v>
                </c:pt>
                <c:pt idx="8">
                  <c:v>8.4332708969334789</c:v>
                </c:pt>
                <c:pt idx="9">
                  <c:v>8.4332798276504857</c:v>
                </c:pt>
                <c:pt idx="10">
                  <c:v>8.4332864703772099</c:v>
                </c:pt>
                <c:pt idx="11">
                  <c:v>8.4332915448183456</c:v>
                </c:pt>
                <c:pt idx="12">
                  <c:v>8.4332955084457897</c:v>
                </c:pt>
                <c:pt idx="13">
                  <c:v>8.4332986633154565</c:v>
                </c:pt>
                <c:pt idx="14">
                  <c:v>8.4333012153769538</c:v>
                </c:pt>
                <c:pt idx="15">
                  <c:v>8.433303308970272</c:v>
                </c:pt>
                <c:pt idx="16">
                  <c:v>8.4333050476758782</c:v>
                </c:pt>
                <c:pt idx="17">
                  <c:v>8.4333065073999638</c:v>
                </c:pt>
                <c:pt idx="18">
                  <c:v>8.4333077447864699</c:v>
                </c:pt>
                <c:pt idx="19">
                  <c:v>8.4333088027931762</c:v>
                </c:pt>
              </c:numCache>
            </c:numRef>
          </c:yVal>
          <c:smooth val="1"/>
          <c:extLst>
            <c:ext xmlns:c16="http://schemas.microsoft.com/office/drawing/2014/chart" uri="{C3380CC4-5D6E-409C-BE32-E72D297353CC}">
              <c16:uniqueId val="{00000000-81D1-4CA6-AD5D-7E7551CBDF3D}"/>
            </c:ext>
          </c:extLst>
        </c:ser>
        <c:ser>
          <c:idx val="1"/>
          <c:order val="1"/>
          <c:tx>
            <c:v>B&amp;S</c:v>
          </c:tx>
          <c:spPr>
            <a:ln w="19050" cap="rnd">
              <a:solidFill>
                <a:schemeClr val="accent1"/>
              </a:solidFill>
              <a:round/>
            </a:ln>
            <a:effectLst/>
          </c:spPr>
          <c:marker>
            <c:symbol val="none"/>
          </c:marker>
          <c:xVal>
            <c:numRef>
              <c:f>Foglio2!$C$110:$C$129</c:f>
              <c:numCache>
                <c:formatCode>General</c:formatCode>
                <c:ptCount val="20"/>
                <c:pt idx="0">
                  <c:v>10</c:v>
                </c:pt>
                <c:pt idx="1">
                  <c:v>21</c:v>
                </c:pt>
                <c:pt idx="2">
                  <c:v>30</c:v>
                </c:pt>
                <c:pt idx="3">
                  <c:v>41</c:v>
                </c:pt>
                <c:pt idx="4">
                  <c:v>50</c:v>
                </c:pt>
                <c:pt idx="5">
                  <c:v>61</c:v>
                </c:pt>
                <c:pt idx="6">
                  <c:v>70</c:v>
                </c:pt>
                <c:pt idx="7">
                  <c:v>81</c:v>
                </c:pt>
                <c:pt idx="8">
                  <c:v>90</c:v>
                </c:pt>
                <c:pt idx="9">
                  <c:v>101</c:v>
                </c:pt>
                <c:pt idx="10">
                  <c:v>110</c:v>
                </c:pt>
                <c:pt idx="11">
                  <c:v>121</c:v>
                </c:pt>
                <c:pt idx="12">
                  <c:v>130</c:v>
                </c:pt>
                <c:pt idx="13">
                  <c:v>141</c:v>
                </c:pt>
                <c:pt idx="14">
                  <c:v>150</c:v>
                </c:pt>
                <c:pt idx="15">
                  <c:v>161</c:v>
                </c:pt>
                <c:pt idx="16">
                  <c:v>170</c:v>
                </c:pt>
                <c:pt idx="17">
                  <c:v>181</c:v>
                </c:pt>
                <c:pt idx="18">
                  <c:v>190</c:v>
                </c:pt>
                <c:pt idx="19">
                  <c:v>201</c:v>
                </c:pt>
              </c:numCache>
            </c:numRef>
          </c:xVal>
          <c:yVal>
            <c:numRef>
              <c:f>Foglio2!$E$110:$E$129</c:f>
              <c:numCache>
                <c:formatCode>General</c:formatCode>
                <c:ptCount val="20"/>
                <c:pt idx="0">
                  <c:v>8.4333186901096084</c:v>
                </c:pt>
                <c:pt idx="1">
                  <c:v>8.4333186901096084</c:v>
                </c:pt>
                <c:pt idx="2">
                  <c:v>8.4333186901096084</c:v>
                </c:pt>
                <c:pt idx="3">
                  <c:v>8.4333186901096084</c:v>
                </c:pt>
                <c:pt idx="4">
                  <c:v>8.4333186901096084</c:v>
                </c:pt>
                <c:pt idx="5">
                  <c:v>8.4333186901096084</c:v>
                </c:pt>
                <c:pt idx="6">
                  <c:v>8.4333186901096084</c:v>
                </c:pt>
                <c:pt idx="7">
                  <c:v>8.4333186901096084</c:v>
                </c:pt>
                <c:pt idx="8">
                  <c:v>8.4333186901096084</c:v>
                </c:pt>
                <c:pt idx="9">
                  <c:v>8.4333186901096084</c:v>
                </c:pt>
                <c:pt idx="10">
                  <c:v>8.4333186901096084</c:v>
                </c:pt>
                <c:pt idx="11">
                  <c:v>8.4333186901096084</c:v>
                </c:pt>
                <c:pt idx="12">
                  <c:v>8.4333186901096084</c:v>
                </c:pt>
                <c:pt idx="13">
                  <c:v>8.4333186901096084</c:v>
                </c:pt>
                <c:pt idx="14">
                  <c:v>8.4333186901096084</c:v>
                </c:pt>
                <c:pt idx="15">
                  <c:v>8.4333186901096084</c:v>
                </c:pt>
                <c:pt idx="16">
                  <c:v>8.4333186901096084</c:v>
                </c:pt>
                <c:pt idx="17">
                  <c:v>8.4333186901096084</c:v>
                </c:pt>
                <c:pt idx="18">
                  <c:v>8.4333186901096084</c:v>
                </c:pt>
                <c:pt idx="19">
                  <c:v>8.4333186901096084</c:v>
                </c:pt>
              </c:numCache>
            </c:numRef>
          </c:yVal>
          <c:smooth val="1"/>
          <c:extLst>
            <c:ext xmlns:c16="http://schemas.microsoft.com/office/drawing/2014/chart" uri="{C3380CC4-5D6E-409C-BE32-E72D297353CC}">
              <c16:uniqueId val="{00000001-81D1-4CA6-AD5D-7E7551CBDF3D}"/>
            </c:ext>
          </c:extLst>
        </c:ser>
        <c:dLbls>
          <c:showLegendKey val="0"/>
          <c:showVal val="0"/>
          <c:showCatName val="0"/>
          <c:showSerName val="0"/>
          <c:showPercent val="0"/>
          <c:showBubbleSize val="0"/>
        </c:dLbls>
        <c:axId val="1877599184"/>
        <c:axId val="1877618736"/>
      </c:scatterChart>
      <c:valAx>
        <c:axId val="1877599184"/>
        <c:scaling>
          <c:logBase val="10"/>
          <c:orientation val="minMax"/>
          <c:max val="100"/>
          <c:min val="1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877618736"/>
        <c:crosses val="autoZero"/>
        <c:crossBetween val="midCat"/>
      </c:valAx>
      <c:valAx>
        <c:axId val="1877618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8775991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t-IT"/>
              <a:t>Rate</a:t>
            </a:r>
            <a:r>
              <a:rPr lang="it-IT" baseline="0"/>
              <a:t> of convergence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Foglio2!$C$110:$C$128</c:f>
              <c:numCache>
                <c:formatCode>General</c:formatCode>
                <c:ptCount val="19"/>
                <c:pt idx="0">
                  <c:v>10</c:v>
                </c:pt>
                <c:pt idx="1">
                  <c:v>21</c:v>
                </c:pt>
                <c:pt idx="2">
                  <c:v>30</c:v>
                </c:pt>
                <c:pt idx="3">
                  <c:v>41</c:v>
                </c:pt>
                <c:pt idx="4">
                  <c:v>50</c:v>
                </c:pt>
                <c:pt idx="5">
                  <c:v>61</c:v>
                </c:pt>
                <c:pt idx="6">
                  <c:v>70</c:v>
                </c:pt>
                <c:pt idx="7">
                  <c:v>81</c:v>
                </c:pt>
                <c:pt idx="8">
                  <c:v>90</c:v>
                </c:pt>
                <c:pt idx="9">
                  <c:v>101</c:v>
                </c:pt>
                <c:pt idx="10">
                  <c:v>110</c:v>
                </c:pt>
                <c:pt idx="11">
                  <c:v>121</c:v>
                </c:pt>
                <c:pt idx="12">
                  <c:v>130</c:v>
                </c:pt>
                <c:pt idx="13">
                  <c:v>141</c:v>
                </c:pt>
                <c:pt idx="14">
                  <c:v>150</c:v>
                </c:pt>
                <c:pt idx="15">
                  <c:v>161</c:v>
                </c:pt>
                <c:pt idx="16">
                  <c:v>170</c:v>
                </c:pt>
                <c:pt idx="17">
                  <c:v>181</c:v>
                </c:pt>
                <c:pt idx="18">
                  <c:v>190</c:v>
                </c:pt>
              </c:numCache>
            </c:numRef>
          </c:xVal>
          <c:yVal>
            <c:numRef>
              <c:f>Foglio2!$F$110:$F$128</c:f>
              <c:numCache>
                <c:formatCode>General</c:formatCode>
                <c:ptCount val="19"/>
                <c:pt idx="0">
                  <c:v>0.29122585830808617</c:v>
                </c:pt>
                <c:pt idx="1">
                  <c:v>0.46924792417694844</c:v>
                </c:pt>
                <c:pt idx="2">
                  <c:v>0.57839473082815729</c:v>
                </c:pt>
                <c:pt idx="3">
                  <c:v>0.65094506224916437</c:v>
                </c:pt>
                <c:pt idx="4">
                  <c:v>0.7024107578657719</c:v>
                </c:pt>
                <c:pt idx="5">
                  <c:v>0.74074146803465379</c:v>
                </c:pt>
                <c:pt idx="6">
                  <c:v>0.77036826871679742</c:v>
                </c:pt>
                <c:pt idx="7">
                  <c:v>0.79394139707568023</c:v>
                </c:pt>
                <c:pt idx="8">
                  <c:v>0.81313824001583357</c:v>
                </c:pt>
                <c:pt idx="9">
                  <c:v>0.8290708597916352</c:v>
                </c:pt>
                <c:pt idx="10">
                  <c:v>0.84250517437679706</c:v>
                </c:pt>
                <c:pt idx="11">
                  <c:v>0.85398471485664362</c:v>
                </c:pt>
                <c:pt idx="12">
                  <c:v>0.86390667678087418</c:v>
                </c:pt>
                <c:pt idx="13">
                  <c:v>0.87256764722892866</c:v>
                </c:pt>
                <c:pt idx="14">
                  <c:v>0.88019311312874804</c:v>
                </c:pt>
                <c:pt idx="15">
                  <c:v>0.88695859467043059</c:v>
                </c:pt>
                <c:pt idx="16">
                  <c:v>0.89300119652631593</c:v>
                </c:pt>
                <c:pt idx="17">
                  <c:v>0.89843092856675966</c:v>
                </c:pt>
                <c:pt idx="18">
                  <c:v>0.90333709723714439</c:v>
                </c:pt>
              </c:numCache>
            </c:numRef>
          </c:yVal>
          <c:smooth val="1"/>
          <c:extLst>
            <c:ext xmlns:c16="http://schemas.microsoft.com/office/drawing/2014/chart" uri="{C3380CC4-5D6E-409C-BE32-E72D297353CC}">
              <c16:uniqueId val="{00000000-5C0D-46CC-9F84-B485E7DD7D45}"/>
            </c:ext>
          </c:extLst>
        </c:ser>
        <c:dLbls>
          <c:showLegendKey val="0"/>
          <c:showVal val="0"/>
          <c:showCatName val="0"/>
          <c:showSerName val="0"/>
          <c:showPercent val="0"/>
          <c:showBubbleSize val="0"/>
        </c:dLbls>
        <c:axId val="1877609168"/>
        <c:axId val="1877602928"/>
      </c:scatterChart>
      <c:valAx>
        <c:axId val="1877609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877602928"/>
        <c:crosses val="autoZero"/>
        <c:crossBetween val="midCat"/>
      </c:valAx>
      <c:valAx>
        <c:axId val="1877602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8776091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t-IT"/>
              <a:t>Error</a:t>
            </a:r>
            <a:r>
              <a:rPr lang="it-IT" baseline="0"/>
              <a:t>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Foglio2!$C$110:$C$129</c:f>
              <c:numCache>
                <c:formatCode>General</c:formatCode>
                <c:ptCount val="20"/>
                <c:pt idx="0">
                  <c:v>10</c:v>
                </c:pt>
                <c:pt idx="1">
                  <c:v>21</c:v>
                </c:pt>
                <c:pt idx="2">
                  <c:v>30</c:v>
                </c:pt>
                <c:pt idx="3">
                  <c:v>41</c:v>
                </c:pt>
                <c:pt idx="4">
                  <c:v>50</c:v>
                </c:pt>
                <c:pt idx="5">
                  <c:v>61</c:v>
                </c:pt>
                <c:pt idx="6">
                  <c:v>70</c:v>
                </c:pt>
                <c:pt idx="7">
                  <c:v>81</c:v>
                </c:pt>
                <c:pt idx="8">
                  <c:v>90</c:v>
                </c:pt>
                <c:pt idx="9">
                  <c:v>101</c:v>
                </c:pt>
                <c:pt idx="10">
                  <c:v>110</c:v>
                </c:pt>
                <c:pt idx="11">
                  <c:v>121</c:v>
                </c:pt>
                <c:pt idx="12">
                  <c:v>130</c:v>
                </c:pt>
                <c:pt idx="13">
                  <c:v>141</c:v>
                </c:pt>
                <c:pt idx="14">
                  <c:v>150</c:v>
                </c:pt>
                <c:pt idx="15">
                  <c:v>161</c:v>
                </c:pt>
                <c:pt idx="16">
                  <c:v>170</c:v>
                </c:pt>
                <c:pt idx="17">
                  <c:v>181</c:v>
                </c:pt>
                <c:pt idx="18">
                  <c:v>190</c:v>
                </c:pt>
                <c:pt idx="19">
                  <c:v>201</c:v>
                </c:pt>
              </c:numCache>
            </c:numRef>
          </c:xVal>
          <c:yVal>
            <c:numRef>
              <c:f>Foglio2!$G$110:$G$129</c:f>
              <c:numCache>
                <c:formatCode>General</c:formatCode>
                <c:ptCount val="20"/>
                <c:pt idx="0">
                  <c:v>2.918907203996568E-3</c:v>
                </c:pt>
                <c:pt idx="1">
                  <c:v>8.5006125580555647E-4</c:v>
                </c:pt>
                <c:pt idx="2">
                  <c:v>3.9888947971000732E-4</c:v>
                </c:pt>
                <c:pt idx="3">
                  <c:v>2.3071557324705338E-4</c:v>
                </c:pt>
                <c:pt idx="4">
                  <c:v>1.5018316318915481E-4</c:v>
                </c:pt>
                <c:pt idx="5">
                  <c:v>1.0549026947437312E-4</c:v>
                </c:pt>
                <c:pt idx="6">
                  <c:v>7.8141017073818375E-5</c:v>
                </c:pt>
                <c:pt idx="7">
                  <c:v>6.0197360038927172E-5</c:v>
                </c:pt>
                <c:pt idx="8">
                  <c:v>4.7793176129573567E-5</c:v>
                </c:pt>
                <c:pt idx="9">
                  <c:v>3.88624591227682E-5</c:v>
                </c:pt>
                <c:pt idx="10">
                  <c:v>3.2219732398530709E-5</c:v>
                </c:pt>
                <c:pt idx="11">
                  <c:v>2.7145291262797855E-5</c:v>
                </c:pt>
                <c:pt idx="12">
                  <c:v>2.3181663818760967E-5</c:v>
                </c:pt>
                <c:pt idx="13">
                  <c:v>2.0026794151917215E-5</c:v>
                </c:pt>
                <c:pt idx="14">
                  <c:v>1.7474732654676473E-5</c:v>
                </c:pt>
                <c:pt idx="15">
                  <c:v>1.5381139336412275E-5</c:v>
                </c:pt>
                <c:pt idx="16">
                  <c:v>1.3642433730254311E-5</c:v>
                </c:pt>
                <c:pt idx="17">
                  <c:v>1.2182709644648071E-5</c:v>
                </c:pt>
                <c:pt idx="18">
                  <c:v>1.0945323138500385E-5</c:v>
                </c:pt>
                <c:pt idx="19">
                  <c:v>9.8873164322554885E-6</c:v>
                </c:pt>
              </c:numCache>
            </c:numRef>
          </c:yVal>
          <c:smooth val="1"/>
          <c:extLst>
            <c:ext xmlns:c16="http://schemas.microsoft.com/office/drawing/2014/chart" uri="{C3380CC4-5D6E-409C-BE32-E72D297353CC}">
              <c16:uniqueId val="{00000000-EFFC-458B-9B7A-253AFFCF1127}"/>
            </c:ext>
          </c:extLst>
        </c:ser>
        <c:dLbls>
          <c:showLegendKey val="0"/>
          <c:showVal val="0"/>
          <c:showCatName val="0"/>
          <c:showSerName val="0"/>
          <c:showPercent val="0"/>
          <c:showBubbleSize val="0"/>
        </c:dLbls>
        <c:axId val="2015561264"/>
        <c:axId val="2015552112"/>
      </c:scatterChart>
      <c:valAx>
        <c:axId val="2015561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2015552112"/>
        <c:crosses val="autoZero"/>
        <c:crossBetween val="midCat"/>
      </c:valAx>
      <c:valAx>
        <c:axId val="2015552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20155612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4.png"/><Relationship Id="rId5" Type="http://schemas.openxmlformats.org/officeDocument/2006/relationships/chart" Target="../charts/chart5.xml"/><Relationship Id="rId10" Type="http://schemas.openxmlformats.org/officeDocument/2006/relationships/image" Target="../media/image3.png"/><Relationship Id="rId4" Type="http://schemas.openxmlformats.org/officeDocument/2006/relationships/chart" Target="../charts/chart4.xml"/><Relationship Id="rId9"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525780</xdr:colOff>
      <xdr:row>0</xdr:row>
      <xdr:rowOff>175260</xdr:rowOff>
    </xdr:from>
    <xdr:to>
      <xdr:col>8</xdr:col>
      <xdr:colOff>175260</xdr:colOff>
      <xdr:row>21</xdr:row>
      <xdr:rowOff>0</xdr:rowOff>
    </xdr:to>
    <xdr:sp macro="" textlink="">
      <xdr:nvSpPr>
        <xdr:cNvPr id="2" name="CasellaDiTesto 1">
          <a:extLst>
            <a:ext uri="{FF2B5EF4-FFF2-40B4-BE49-F238E27FC236}">
              <a16:creationId xmlns:a16="http://schemas.microsoft.com/office/drawing/2014/main" id="{06ACCB88-80BC-4D12-A962-DD3BFA03ADAE}"/>
            </a:ext>
          </a:extLst>
        </xdr:cNvPr>
        <xdr:cNvSpPr txBox="1"/>
      </xdr:nvSpPr>
      <xdr:spPr>
        <a:xfrm>
          <a:off x="525780" y="175260"/>
          <a:ext cx="4922520" cy="36347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t-IT" sz="1100" b="1"/>
            <a:t>Report 2</a:t>
          </a:r>
        </a:p>
        <a:p>
          <a:pPr algn="ctr"/>
          <a:r>
            <a:rPr lang="it-IT" sz="1100"/>
            <a:t>Walter Martemucci</a:t>
          </a:r>
        </a:p>
        <a:p>
          <a:endParaRPr lang="it-IT" sz="1100" b="0" i="0" u="none" strike="noStrike" baseline="0">
            <a:solidFill>
              <a:schemeClr val="dk1"/>
            </a:solidFill>
            <a:latin typeface="+mn-lt"/>
            <a:ea typeface="+mn-ea"/>
            <a:cs typeface="+mn-cs"/>
          </a:endParaRPr>
        </a:p>
        <a:p>
          <a:r>
            <a:rPr lang="it-IT" sz="1100" b="0" i="0" u="none" strike="noStrike" baseline="0">
              <a:solidFill>
                <a:schemeClr val="dk1"/>
              </a:solidFill>
              <a:latin typeface="+mn-lt"/>
              <a:ea typeface="+mn-ea"/>
              <a:cs typeface="+mn-cs"/>
            </a:rPr>
            <a:t>In this report has been estimated the implicit dividend of a specific underlying using box spread and call put parity method. The chosen dividend paying underlying is </a:t>
          </a:r>
          <a:r>
            <a:rPr lang="it-IT" sz="1100" b="0" i="0">
              <a:solidFill>
                <a:schemeClr val="dk1"/>
              </a:solidFill>
              <a:effectLst/>
              <a:latin typeface="+mn-lt"/>
              <a:ea typeface="+mn-ea"/>
              <a:cs typeface="+mn-cs"/>
            </a:rPr>
            <a:t>American Electric Power Company, Inc. (AEP).</a:t>
          </a:r>
        </a:p>
        <a:p>
          <a:endParaRPr lang="it-IT" sz="1100" b="0" i="0">
            <a:solidFill>
              <a:schemeClr val="dk1"/>
            </a:solidFill>
            <a:effectLst/>
            <a:latin typeface="+mn-lt"/>
            <a:ea typeface="+mn-ea"/>
            <a:cs typeface="+mn-cs"/>
          </a:endParaRPr>
        </a:p>
        <a:p>
          <a:endParaRPr lang="it-IT" sz="1100" b="0" i="0">
            <a:solidFill>
              <a:schemeClr val="dk1"/>
            </a:solidFill>
            <a:effectLst/>
            <a:latin typeface="+mn-lt"/>
            <a:ea typeface="+mn-ea"/>
            <a:cs typeface="+mn-cs"/>
          </a:endParaRPr>
        </a:p>
        <a:p>
          <a:r>
            <a:rPr lang="it-IT" sz="1100" b="0" i="0">
              <a:solidFill>
                <a:schemeClr val="dk1"/>
              </a:solidFill>
              <a:effectLst/>
              <a:latin typeface="+mn-lt"/>
              <a:ea typeface="+mn-ea"/>
              <a:cs typeface="+mn-cs"/>
            </a:rPr>
            <a:t>Discount factors</a:t>
          </a:r>
          <a:r>
            <a:rPr lang="it-IT" sz="1100" b="0" i="0" baseline="0">
              <a:solidFill>
                <a:schemeClr val="dk1"/>
              </a:solidFill>
              <a:effectLst/>
              <a:latin typeface="+mn-lt"/>
              <a:ea typeface="+mn-ea"/>
              <a:cs typeface="+mn-cs"/>
            </a:rPr>
            <a:t> values are included between zero and one and </a:t>
          </a:r>
          <a:r>
            <a:rPr lang="it-IT" sz="1100" b="0" i="0">
              <a:solidFill>
                <a:schemeClr val="dk1"/>
              </a:solidFill>
              <a:effectLst/>
              <a:latin typeface="+mn-lt"/>
              <a:ea typeface="+mn-ea"/>
              <a:cs typeface="+mn-cs"/>
            </a:rPr>
            <a:t>determine the importance of future rewards. A factor of 0 force</a:t>
          </a:r>
          <a:r>
            <a:rPr lang="it-IT" sz="1100" b="0" i="0" baseline="0">
              <a:solidFill>
                <a:schemeClr val="dk1"/>
              </a:solidFill>
              <a:effectLst/>
              <a:latin typeface="+mn-lt"/>
              <a:ea typeface="+mn-ea"/>
              <a:cs typeface="+mn-cs"/>
            </a:rPr>
            <a:t> to consider</a:t>
          </a:r>
          <a:r>
            <a:rPr lang="it-IT" sz="1100" b="0" i="0">
              <a:solidFill>
                <a:schemeClr val="dk1"/>
              </a:solidFill>
              <a:effectLst/>
              <a:latin typeface="+mn-lt"/>
              <a:ea typeface="+mn-ea"/>
              <a:cs typeface="+mn-cs"/>
            </a:rPr>
            <a:t> current rewards, while a factor approaching 1 makes it strives for a long-term high reward. If the discount factor exceeds 1, the action values may diverge,</a:t>
          </a:r>
          <a:r>
            <a:rPr lang="it-IT" sz="1100" b="0" i="0" baseline="0">
              <a:solidFill>
                <a:schemeClr val="dk1"/>
              </a:solidFill>
              <a:effectLst/>
              <a:latin typeface="+mn-lt"/>
              <a:ea typeface="+mn-ea"/>
              <a:cs typeface="+mn-cs"/>
            </a:rPr>
            <a:t> that's probably caused by the choice of strike price k1 and k2, that happens in the maturity 10 months.</a:t>
          </a:r>
          <a:endParaRPr lang="it-IT" sz="1100" b="0" i="0">
            <a:solidFill>
              <a:schemeClr val="dk1"/>
            </a:solidFill>
            <a:effectLst/>
            <a:latin typeface="+mn-lt"/>
            <a:ea typeface="+mn-ea"/>
            <a:cs typeface="+mn-cs"/>
          </a:endParaRPr>
        </a:p>
        <a:p>
          <a:endParaRPr lang="it-IT" sz="1100" b="0" i="0">
            <a:solidFill>
              <a:schemeClr val="dk1"/>
            </a:solidFill>
            <a:effectLst/>
            <a:latin typeface="+mn-lt"/>
            <a:ea typeface="+mn-ea"/>
            <a:cs typeface="+mn-cs"/>
          </a:endParaRPr>
        </a:p>
        <a:p>
          <a:endParaRPr lang="it-IT" sz="1100" b="0" i="0">
            <a:solidFill>
              <a:schemeClr val="dk1"/>
            </a:solidFill>
            <a:effectLst/>
            <a:latin typeface="+mn-lt"/>
            <a:ea typeface="+mn-ea"/>
            <a:cs typeface="+mn-cs"/>
          </a:endParaRPr>
        </a:p>
        <a:p>
          <a:endParaRPr lang="it-IT" sz="1100" b="0" i="0">
            <a:solidFill>
              <a:schemeClr val="dk1"/>
            </a:solidFill>
            <a:effectLst/>
            <a:latin typeface="+mn-lt"/>
            <a:ea typeface="+mn-ea"/>
            <a:cs typeface="+mn-cs"/>
          </a:endParaRPr>
        </a:p>
        <a:p>
          <a:endParaRPr lang="it-IT" sz="1100" b="0" i="0" u="none" strike="noStrike" baseline="0">
            <a:solidFill>
              <a:schemeClr val="dk1"/>
            </a:solidFill>
            <a:latin typeface="+mn-lt"/>
            <a:ea typeface="+mn-ea"/>
            <a:cs typeface="+mn-cs"/>
          </a:endParaRPr>
        </a:p>
        <a:p>
          <a:pPr algn="l"/>
          <a:endParaRPr lang="it-IT"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457200</xdr:colOff>
      <xdr:row>32</xdr:row>
      <xdr:rowOff>106680</xdr:rowOff>
    </xdr:from>
    <xdr:to>
      <xdr:col>8</xdr:col>
      <xdr:colOff>68580</xdr:colOff>
      <xdr:row>47</xdr:row>
      <xdr:rowOff>53340</xdr:rowOff>
    </xdr:to>
    <xdr:graphicFrame macro="">
      <xdr:nvGraphicFramePr>
        <xdr:cNvPr id="2" name="Grafico 1">
          <a:extLst>
            <a:ext uri="{FF2B5EF4-FFF2-40B4-BE49-F238E27FC236}">
              <a16:creationId xmlns:a16="http://schemas.microsoft.com/office/drawing/2014/main" id="{581457B4-8B05-43A7-B5B6-3EEE2686CB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411480</xdr:colOff>
      <xdr:row>59</xdr:row>
      <xdr:rowOff>22860</xdr:rowOff>
    </xdr:from>
    <xdr:to>
      <xdr:col>8</xdr:col>
      <xdr:colOff>38100</xdr:colOff>
      <xdr:row>74</xdr:row>
      <xdr:rowOff>22860</xdr:rowOff>
    </xdr:to>
    <xdr:graphicFrame macro="">
      <xdr:nvGraphicFramePr>
        <xdr:cNvPr id="3" name="Grafico 2">
          <a:extLst>
            <a:ext uri="{FF2B5EF4-FFF2-40B4-BE49-F238E27FC236}">
              <a16:creationId xmlns:a16="http://schemas.microsoft.com/office/drawing/2014/main" id="{EC489BDD-ECDE-4AB2-B7A3-D596ECCE91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594360</xdr:colOff>
      <xdr:row>0</xdr:row>
      <xdr:rowOff>7620</xdr:rowOff>
    </xdr:from>
    <xdr:to>
      <xdr:col>18</xdr:col>
      <xdr:colOff>38100</xdr:colOff>
      <xdr:row>81</xdr:row>
      <xdr:rowOff>91440</xdr:rowOff>
    </xdr:to>
    <xdr:sp macro="" textlink="">
      <xdr:nvSpPr>
        <xdr:cNvPr id="5" name="CasellaDiTesto 4">
          <a:extLst>
            <a:ext uri="{FF2B5EF4-FFF2-40B4-BE49-F238E27FC236}">
              <a16:creationId xmlns:a16="http://schemas.microsoft.com/office/drawing/2014/main" id="{857B3D6A-D5C3-4C4F-9468-BCD1BC1F552C}"/>
            </a:ext>
          </a:extLst>
        </xdr:cNvPr>
        <xdr:cNvSpPr txBox="1"/>
      </xdr:nvSpPr>
      <xdr:spPr>
        <a:xfrm>
          <a:off x="5615940" y="7620"/>
          <a:ext cx="5539740" cy="14897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t-IT" sz="1200"/>
            <a:t>Third</a:t>
          </a:r>
          <a:r>
            <a:rPr lang="it-IT" sz="1200" baseline="0"/>
            <a:t> report</a:t>
          </a:r>
        </a:p>
        <a:p>
          <a:pPr algn="ctr"/>
          <a:r>
            <a:rPr lang="it-IT" sz="1200" baseline="0"/>
            <a:t>Financial Mathematics for data science</a:t>
          </a:r>
        </a:p>
        <a:p>
          <a:pPr algn="ctr"/>
          <a:r>
            <a:rPr lang="it-IT" sz="1200" baseline="0"/>
            <a:t>Walter Martemucci</a:t>
          </a:r>
        </a:p>
        <a:p>
          <a:pPr algn="l"/>
          <a:endParaRPr lang="it-IT" sz="1200" baseline="0"/>
        </a:p>
        <a:p>
          <a:pPr algn="l"/>
          <a:r>
            <a:rPr lang="it-IT" sz="1100" baseline="0"/>
            <a:t>The aim of this report is to investigate the convergence of the Cox-Ross-Rubinstein and the Leisen-Reimer discrete model to the Black and Scholes model but first a quick introduction to those models.</a:t>
          </a:r>
        </a:p>
        <a:p>
          <a:pPr algn="l"/>
          <a:endParaRPr lang="it-IT" sz="1100" baseline="0"/>
        </a:p>
        <a:p>
          <a:pPr marL="0" marR="0" lvl="0" indent="0" algn="l" defTabSz="914400" rtl="0" eaLnBrk="1" fontAlgn="auto" latinLnBrk="0" hangingPunct="1">
            <a:lnSpc>
              <a:spcPct val="100000"/>
            </a:lnSpc>
            <a:spcBef>
              <a:spcPts val="0"/>
            </a:spcBef>
            <a:spcAft>
              <a:spcPts val="0"/>
            </a:spcAft>
            <a:buClrTx/>
            <a:buSzTx/>
            <a:buFontTx/>
            <a:buNone/>
            <a:tabLst/>
            <a:defRPr/>
          </a:pPr>
          <a:r>
            <a:rPr lang="it-IT" sz="1100" b="1" i="0">
              <a:solidFill>
                <a:schemeClr val="dk1"/>
              </a:solidFill>
              <a:effectLst/>
              <a:latin typeface="+mn-lt"/>
              <a:ea typeface="+mn-ea"/>
              <a:cs typeface="+mn-cs"/>
            </a:rPr>
            <a:t>The Black Scholes </a:t>
          </a:r>
          <a:r>
            <a:rPr lang="it-IT" sz="1100" b="0" i="0">
              <a:solidFill>
                <a:schemeClr val="dk1"/>
              </a:solidFill>
              <a:effectLst/>
              <a:latin typeface="+mn-lt"/>
              <a:ea typeface="+mn-ea"/>
              <a:cs typeface="+mn-cs"/>
            </a:rPr>
            <a:t>model is probably the</a:t>
          </a:r>
          <a:r>
            <a:rPr lang="it-IT" sz="1100" b="0" i="0" baseline="0">
              <a:solidFill>
                <a:schemeClr val="dk1"/>
              </a:solidFill>
              <a:effectLst/>
              <a:latin typeface="+mn-lt"/>
              <a:ea typeface="+mn-ea"/>
              <a:cs typeface="+mn-cs"/>
            </a:rPr>
            <a:t> most popular option pricing framework due to its easily implementation.</a:t>
          </a:r>
        </a:p>
        <a:p>
          <a:pPr marL="0" marR="0" lvl="0" indent="0" algn="l" defTabSz="914400" rtl="0" eaLnBrk="1" fontAlgn="auto" latinLnBrk="0" hangingPunct="1">
            <a:lnSpc>
              <a:spcPct val="100000"/>
            </a:lnSpc>
            <a:spcBef>
              <a:spcPts val="0"/>
            </a:spcBef>
            <a:spcAft>
              <a:spcPts val="0"/>
            </a:spcAft>
            <a:buClrTx/>
            <a:buSzTx/>
            <a:buFontTx/>
            <a:buNone/>
            <a:tabLst/>
            <a:defRPr/>
          </a:pPr>
          <a:r>
            <a:rPr lang="it-IT" sz="1100" b="0" i="0">
              <a:solidFill>
                <a:schemeClr val="dk1"/>
              </a:solidFill>
              <a:effectLst/>
              <a:latin typeface="+mn-lt"/>
              <a:ea typeface="+mn-ea"/>
              <a:cs typeface="+mn-cs"/>
            </a:rPr>
            <a:t>The formula</a:t>
          </a:r>
          <a:r>
            <a:rPr lang="it-IT" sz="1100" b="0" i="0" baseline="0">
              <a:solidFill>
                <a:schemeClr val="dk1"/>
              </a:solidFill>
              <a:effectLst/>
              <a:latin typeface="+mn-lt"/>
              <a:ea typeface="+mn-ea"/>
              <a:cs typeface="+mn-cs"/>
            </a:rPr>
            <a:t> </a:t>
          </a:r>
          <a:r>
            <a:rPr lang="it-IT" sz="1100" b="0" i="0">
              <a:solidFill>
                <a:schemeClr val="dk1"/>
              </a:solidFill>
              <a:effectLst/>
              <a:latin typeface="+mn-lt"/>
              <a:ea typeface="+mn-ea"/>
              <a:cs typeface="+mn-cs"/>
            </a:rPr>
            <a:t>presents a theoretical estimate of the price of European-style options independently of the risk of the underlying security</a:t>
          </a:r>
          <a:r>
            <a:rPr lang="it-IT" sz="1100" b="0" i="0" baseline="0">
              <a:solidFill>
                <a:schemeClr val="dk1"/>
              </a:solidFill>
              <a:effectLst/>
              <a:latin typeface="+mn-lt"/>
              <a:ea typeface="+mn-ea"/>
              <a:cs typeface="+mn-cs"/>
            </a:rPr>
            <a:t>  while f</a:t>
          </a:r>
          <a:r>
            <a:rPr lang="it-IT" sz="1100" b="0" i="0">
              <a:solidFill>
                <a:schemeClr val="dk1"/>
              </a:solidFill>
              <a:effectLst/>
              <a:latin typeface="+mn-lt"/>
              <a:ea typeface="+mn-ea"/>
              <a:cs typeface="+mn-cs"/>
            </a:rPr>
            <a:t>uture payoffs from options can be discounted using the risk-neutral rate.</a:t>
          </a:r>
        </a:p>
        <a:p>
          <a:pPr marL="0" marR="0" lvl="0" indent="0" algn="l" defTabSz="914400" rtl="0" eaLnBrk="1" fontAlgn="auto" latinLnBrk="0" hangingPunct="1">
            <a:lnSpc>
              <a:spcPct val="100000"/>
            </a:lnSpc>
            <a:spcBef>
              <a:spcPts val="0"/>
            </a:spcBef>
            <a:spcAft>
              <a:spcPts val="0"/>
            </a:spcAft>
            <a:buClrTx/>
            <a:buSzTx/>
            <a:buFontTx/>
            <a:buNone/>
            <a:tabLst/>
            <a:defRPr/>
          </a:pPr>
          <a:endParaRPr lang="it-IT">
            <a:effectLst/>
          </a:endParaRPr>
        </a:p>
        <a:p>
          <a:pPr algn="l"/>
          <a:endParaRPr lang="it-IT" sz="1100" baseline="0"/>
        </a:p>
        <a:p>
          <a:pPr algn="l"/>
          <a:endParaRPr lang="it-IT" sz="1100" baseline="0"/>
        </a:p>
        <a:p>
          <a:pPr algn="l"/>
          <a:endParaRPr lang="it-IT" sz="1100" baseline="0"/>
        </a:p>
        <a:p>
          <a:pPr algn="l"/>
          <a:endParaRPr lang="it-IT" sz="1100" b="0" i="0">
            <a:solidFill>
              <a:schemeClr val="dk1"/>
            </a:solidFill>
            <a:effectLst/>
            <a:latin typeface="+mn-lt"/>
            <a:ea typeface="+mn-ea"/>
            <a:cs typeface="+mn-cs"/>
          </a:endParaRPr>
        </a:p>
        <a:p>
          <a:pPr algn="l"/>
          <a:endParaRPr lang="it-IT" sz="1100" b="0" i="0">
            <a:solidFill>
              <a:schemeClr val="dk1"/>
            </a:solidFill>
            <a:effectLst/>
            <a:latin typeface="+mn-lt"/>
            <a:ea typeface="+mn-ea"/>
            <a:cs typeface="+mn-cs"/>
          </a:endParaRPr>
        </a:p>
        <a:p>
          <a:pPr algn="l"/>
          <a:endParaRPr lang="it-IT" sz="1100" b="0" i="0">
            <a:solidFill>
              <a:schemeClr val="dk1"/>
            </a:solidFill>
            <a:effectLst/>
            <a:latin typeface="+mn-lt"/>
            <a:ea typeface="+mn-ea"/>
            <a:cs typeface="+mn-cs"/>
          </a:endParaRPr>
        </a:p>
        <a:p>
          <a:pPr algn="l"/>
          <a:endParaRPr lang="it-IT" sz="1100" b="0" i="0">
            <a:solidFill>
              <a:schemeClr val="dk1"/>
            </a:solidFill>
            <a:effectLst/>
            <a:latin typeface="+mn-lt"/>
            <a:ea typeface="+mn-ea"/>
            <a:cs typeface="+mn-cs"/>
          </a:endParaRPr>
        </a:p>
        <a:p>
          <a:pPr algn="l"/>
          <a:endParaRPr lang="it-IT" sz="1100" b="0" i="0">
            <a:solidFill>
              <a:schemeClr val="dk1"/>
            </a:solidFill>
            <a:effectLst/>
            <a:latin typeface="+mn-lt"/>
            <a:ea typeface="+mn-ea"/>
            <a:cs typeface="+mn-cs"/>
          </a:endParaRPr>
        </a:p>
        <a:p>
          <a:pPr algn="l"/>
          <a:endParaRPr lang="it-IT" sz="1100" b="0" i="0">
            <a:solidFill>
              <a:schemeClr val="dk1"/>
            </a:solidFill>
            <a:effectLst/>
            <a:latin typeface="+mn-lt"/>
            <a:ea typeface="+mn-ea"/>
            <a:cs typeface="+mn-cs"/>
          </a:endParaRPr>
        </a:p>
        <a:p>
          <a:pPr algn="l"/>
          <a:endParaRPr lang="it-IT" sz="1100" b="0" i="0">
            <a:solidFill>
              <a:schemeClr val="dk1"/>
            </a:solidFill>
            <a:effectLst/>
            <a:latin typeface="+mn-lt"/>
            <a:ea typeface="+mn-ea"/>
            <a:cs typeface="+mn-cs"/>
          </a:endParaRPr>
        </a:p>
        <a:p>
          <a:pPr algn="l"/>
          <a:endParaRPr lang="it-IT" sz="11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endParaRPr lang="it-IT" sz="11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endParaRPr lang="it-IT" sz="11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endParaRPr lang="it-IT" sz="11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it-IT" sz="1100" b="0" i="0">
              <a:solidFill>
                <a:schemeClr val="dk1"/>
              </a:solidFill>
              <a:effectLst/>
              <a:latin typeface="+mn-lt"/>
              <a:ea typeface="+mn-ea"/>
              <a:cs typeface="+mn-cs"/>
            </a:rPr>
            <a:t>Where</a:t>
          </a:r>
          <a:r>
            <a:rPr lang="it-IT" sz="1100" b="1" i="0">
              <a:solidFill>
                <a:schemeClr val="dk1"/>
              </a:solidFill>
              <a:effectLst/>
              <a:latin typeface="+mn-lt"/>
              <a:ea typeface="+mn-ea"/>
              <a:cs typeface="+mn-cs"/>
            </a:rPr>
            <a:t> </a:t>
          </a:r>
          <a:r>
            <a:rPr lang="it-IT" sz="1100" b="0" i="1">
              <a:solidFill>
                <a:schemeClr val="dk1"/>
              </a:solidFill>
              <a:effectLst/>
              <a:latin typeface="+mn-lt"/>
              <a:ea typeface="+mn-ea"/>
              <a:cs typeface="+mn-cs"/>
            </a:rPr>
            <a:t>c </a:t>
          </a:r>
          <a:r>
            <a:rPr lang="it-IT" sz="1100" b="0" i="0">
              <a:solidFill>
                <a:schemeClr val="dk1"/>
              </a:solidFill>
              <a:effectLst/>
              <a:latin typeface="+mn-lt"/>
              <a:ea typeface="+mn-ea"/>
              <a:cs typeface="+mn-cs"/>
            </a:rPr>
            <a:t>= Call option value, </a:t>
          </a:r>
          <a:r>
            <a:rPr lang="it-IT" sz="1100" b="0" i="1">
              <a:solidFill>
                <a:schemeClr val="dk1"/>
              </a:solidFill>
              <a:effectLst/>
              <a:latin typeface="+mn-lt"/>
              <a:ea typeface="+mn-ea"/>
              <a:cs typeface="+mn-cs"/>
            </a:rPr>
            <a:t>p </a:t>
          </a:r>
          <a:r>
            <a:rPr lang="it-IT" sz="1100" b="0" i="0">
              <a:solidFill>
                <a:schemeClr val="dk1"/>
              </a:solidFill>
              <a:effectLst/>
              <a:latin typeface="+mn-lt"/>
              <a:ea typeface="+mn-ea"/>
              <a:cs typeface="+mn-cs"/>
            </a:rPr>
            <a:t>= Put option value, </a:t>
          </a:r>
          <a:r>
            <a:rPr lang="it-IT" sz="1100" b="0" i="1">
              <a:solidFill>
                <a:schemeClr val="dk1"/>
              </a:solidFill>
              <a:effectLst/>
              <a:latin typeface="+mn-lt"/>
              <a:ea typeface="+mn-ea"/>
              <a:cs typeface="+mn-cs"/>
            </a:rPr>
            <a:t>S</a:t>
          </a:r>
          <a:r>
            <a:rPr lang="it-IT" sz="1100" b="0" i="0">
              <a:solidFill>
                <a:schemeClr val="dk1"/>
              </a:solidFill>
              <a:effectLst/>
              <a:latin typeface="+mn-lt"/>
              <a:ea typeface="+mn-ea"/>
              <a:cs typeface="+mn-cs"/>
            </a:rPr>
            <a:t>=Current stock (or other underlying) price, </a:t>
          </a:r>
          <a:r>
            <a:rPr lang="it-IT" sz="1100" b="0" i="1">
              <a:solidFill>
                <a:schemeClr val="dk1"/>
              </a:solidFill>
              <a:effectLst/>
              <a:latin typeface="+mn-lt"/>
              <a:ea typeface="+mn-ea"/>
              <a:cs typeface="+mn-cs"/>
            </a:rPr>
            <a:t>K or X</a:t>
          </a:r>
          <a:r>
            <a:rPr lang="it-IT" sz="1100" b="0" i="0">
              <a:solidFill>
                <a:schemeClr val="dk1"/>
              </a:solidFill>
              <a:effectLst/>
              <a:latin typeface="+mn-lt"/>
              <a:ea typeface="+mn-ea"/>
              <a:cs typeface="+mn-cs"/>
            </a:rPr>
            <a:t>=Strike price, </a:t>
          </a:r>
          <a:r>
            <a:rPr lang="it-IT" sz="1100" b="0" i="1">
              <a:solidFill>
                <a:schemeClr val="dk1"/>
              </a:solidFill>
              <a:effectLst/>
              <a:latin typeface="+mn-lt"/>
              <a:ea typeface="+mn-ea"/>
              <a:cs typeface="+mn-cs"/>
            </a:rPr>
            <a:t>r</a:t>
          </a:r>
          <a:r>
            <a:rPr lang="it-IT" sz="1100" b="0" i="0">
              <a:solidFill>
                <a:schemeClr val="dk1"/>
              </a:solidFill>
              <a:effectLst/>
              <a:latin typeface="+mn-lt"/>
              <a:ea typeface="+mn-ea"/>
              <a:cs typeface="+mn-cs"/>
            </a:rPr>
            <a:t>=Risk-free interest rate, q = dividend yield, </a:t>
          </a:r>
          <a:r>
            <a:rPr lang="it-IT" sz="1100" b="0" i="1">
              <a:solidFill>
                <a:schemeClr val="dk1"/>
              </a:solidFill>
              <a:effectLst/>
              <a:latin typeface="+mn-lt"/>
              <a:ea typeface="+mn-ea"/>
              <a:cs typeface="+mn-cs"/>
            </a:rPr>
            <a:t>T</a:t>
          </a:r>
          <a:r>
            <a:rPr lang="it-IT" sz="1100" b="0" i="0">
              <a:solidFill>
                <a:schemeClr val="dk1"/>
              </a:solidFill>
              <a:effectLst/>
              <a:latin typeface="+mn-lt"/>
              <a:ea typeface="+mn-ea"/>
              <a:cs typeface="+mn-cs"/>
            </a:rPr>
            <a:t>=Time to maturity and </a:t>
          </a:r>
          <a:r>
            <a:rPr lang="it-IT" sz="1100" b="0" i="1">
              <a:solidFill>
                <a:schemeClr val="dk1"/>
              </a:solidFill>
              <a:effectLst/>
              <a:latin typeface="+mn-lt"/>
              <a:ea typeface="+mn-ea"/>
              <a:cs typeface="+mn-cs"/>
            </a:rPr>
            <a:t>N</a:t>
          </a:r>
          <a:r>
            <a:rPr lang="it-IT" sz="1100" b="0" i="0">
              <a:solidFill>
                <a:schemeClr val="dk1"/>
              </a:solidFill>
              <a:effectLst/>
              <a:latin typeface="+mn-lt"/>
              <a:ea typeface="+mn-ea"/>
              <a:cs typeface="+mn-cs"/>
            </a:rPr>
            <a:t> denotes taking the normal cumulative probability,</a:t>
          </a:r>
          <a:r>
            <a:rPr lang="it-IT" sz="1100" b="0" i="0" baseline="0">
              <a:solidFill>
                <a:schemeClr val="dk1"/>
              </a:solidFill>
              <a:effectLst/>
              <a:latin typeface="+mn-lt"/>
              <a:ea typeface="+mn-ea"/>
              <a:cs typeface="+mn-cs"/>
            </a:rPr>
            <a:t> the cost of carry b=r-q has been replaced with r</a:t>
          </a:r>
          <a:r>
            <a:rPr lang="it-IT" sz="1100" b="0" i="0">
              <a:solidFill>
                <a:schemeClr val="dk1"/>
              </a:solidFill>
              <a:effectLst/>
              <a:latin typeface="+mn-lt"/>
              <a:ea typeface="+mn-ea"/>
              <a:cs typeface="+mn-cs"/>
            </a:rPr>
            <a:t>. </a:t>
          </a:r>
        </a:p>
        <a:p>
          <a:pPr algn="l"/>
          <a:endParaRPr lang="it-IT" sz="11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it-IT" sz="1100" b="0" i="0">
              <a:solidFill>
                <a:schemeClr val="dk1"/>
              </a:solidFill>
              <a:effectLst/>
              <a:latin typeface="+mn-lt"/>
              <a:ea typeface="+mn-ea"/>
              <a:cs typeface="+mn-cs"/>
            </a:rPr>
            <a:t>The </a:t>
          </a:r>
          <a:r>
            <a:rPr lang="it-IT" sz="1100" b="1" i="0">
              <a:solidFill>
                <a:schemeClr val="dk1"/>
              </a:solidFill>
              <a:effectLst/>
              <a:latin typeface="+mn-lt"/>
              <a:ea typeface="+mn-ea"/>
              <a:cs typeface="+mn-cs"/>
            </a:rPr>
            <a:t>Cox Ross and Rubinstein</a:t>
          </a:r>
          <a:r>
            <a:rPr lang="it-IT" sz="1100" b="0" i="0">
              <a:solidFill>
                <a:schemeClr val="dk1"/>
              </a:solidFill>
              <a:effectLst/>
              <a:latin typeface="+mn-lt"/>
              <a:ea typeface="+mn-ea"/>
              <a:cs typeface="+mn-cs"/>
            </a:rPr>
            <a:t> model for American/European Options</a:t>
          </a:r>
          <a:r>
            <a:rPr lang="it-IT" sz="1100" b="0" i="0" baseline="0">
              <a:solidFill>
                <a:schemeClr val="dk1"/>
              </a:solidFill>
              <a:effectLst/>
              <a:latin typeface="+mn-lt"/>
              <a:ea typeface="+mn-ea"/>
              <a:cs typeface="+mn-cs"/>
            </a:rPr>
            <a:t>.</a:t>
          </a:r>
        </a:p>
        <a:p>
          <a:pPr marL="0" marR="0" lvl="0" indent="0" algn="l" defTabSz="914400" rtl="0" eaLnBrk="1" fontAlgn="auto" latinLnBrk="0" hangingPunct="1">
            <a:lnSpc>
              <a:spcPct val="100000"/>
            </a:lnSpc>
            <a:spcBef>
              <a:spcPts val="0"/>
            </a:spcBef>
            <a:spcAft>
              <a:spcPts val="0"/>
            </a:spcAft>
            <a:buClrTx/>
            <a:buSzTx/>
            <a:buFontTx/>
            <a:buNone/>
            <a:tabLst/>
            <a:defRPr/>
          </a:pPr>
          <a:r>
            <a:rPr lang="it-IT" sz="1100" b="0" i="0">
              <a:solidFill>
                <a:schemeClr val="dk1"/>
              </a:solidFill>
              <a:effectLst/>
              <a:latin typeface="+mn-lt"/>
              <a:ea typeface="+mn-ea"/>
              <a:cs typeface="+mn-cs"/>
            </a:rPr>
            <a:t>The binomial options pricing model furnishes a numerical method for the valuation of options. The model implements a "discrete-time" (lattice based) method to approximate closed-form Black–Scholes formula. </a:t>
          </a:r>
        </a:p>
        <a:p>
          <a:pPr marL="0" marR="0" lvl="0" indent="0" algn="l" defTabSz="914400" rtl="0" eaLnBrk="1" fontAlgn="auto" latinLnBrk="0" hangingPunct="1">
            <a:lnSpc>
              <a:spcPct val="100000"/>
            </a:lnSpc>
            <a:spcBef>
              <a:spcPts val="0"/>
            </a:spcBef>
            <a:spcAft>
              <a:spcPts val="0"/>
            </a:spcAft>
            <a:buClrTx/>
            <a:buSzTx/>
            <a:buFontTx/>
            <a:buNone/>
            <a:tabLst/>
            <a:defRPr/>
          </a:pPr>
          <a:r>
            <a:rPr lang="it-IT" sz="1100" b="0" i="0">
              <a:solidFill>
                <a:schemeClr val="dk1"/>
              </a:solidFill>
              <a:effectLst/>
              <a:latin typeface="+mn-lt"/>
              <a:ea typeface="+mn-ea"/>
              <a:cs typeface="+mn-cs"/>
            </a:rPr>
            <a:t>It can be tuned to estimate the American analogue the key difference between the two main styles of options relates to exercise behaviour.</a:t>
          </a:r>
          <a:endParaRPr lang="it-IT" b="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it-IT" sz="1100" b="0" i="0">
              <a:solidFill>
                <a:schemeClr val="dk1"/>
              </a:solidFill>
              <a:effectLst/>
              <a:latin typeface="+mn-lt"/>
              <a:ea typeface="+mn-ea"/>
              <a:cs typeface="+mn-cs"/>
            </a:rPr>
            <a:t>When the CRR estimation has</a:t>
          </a:r>
          <a:r>
            <a:rPr lang="it-IT" sz="1100" b="0" i="0" baseline="0">
              <a:solidFill>
                <a:schemeClr val="dk1"/>
              </a:solidFill>
              <a:effectLst/>
              <a:latin typeface="+mn-lt"/>
              <a:ea typeface="+mn-ea"/>
              <a:cs typeface="+mn-cs"/>
            </a:rPr>
            <a:t> been set to </a:t>
          </a:r>
          <a:r>
            <a:rPr lang="it-IT" sz="1100" b="0" i="0">
              <a:solidFill>
                <a:schemeClr val="dk1"/>
              </a:solidFill>
              <a:effectLst/>
              <a:latin typeface="+mn-lt"/>
              <a:ea typeface="+mn-ea"/>
              <a:cs typeface="+mn-cs"/>
            </a:rPr>
            <a:t>European there should be evidence of CRR converging to Black Scholes as we increase the step size,</a:t>
          </a:r>
          <a:r>
            <a:rPr lang="it-IT" sz="1100" b="0" i="0" baseline="0">
              <a:solidFill>
                <a:schemeClr val="dk1"/>
              </a:solidFill>
              <a:effectLst/>
              <a:latin typeface="+mn-lt"/>
              <a:ea typeface="+mn-ea"/>
              <a:cs typeface="+mn-cs"/>
            </a:rPr>
            <a:t> it is trivial to catch</a:t>
          </a:r>
          <a:r>
            <a:rPr lang="it-IT" sz="1100" b="0" i="0">
              <a:solidFill>
                <a:schemeClr val="dk1"/>
              </a:solidFill>
              <a:effectLst/>
              <a:latin typeface="+mn-lt"/>
              <a:ea typeface="+mn-ea"/>
              <a:cs typeface="+mn-cs"/>
            </a:rPr>
            <a:t> that convergence is oscillatory</a:t>
          </a:r>
          <a:r>
            <a:rPr lang="it-IT" sz="1100" b="0" i="0" baseline="0">
              <a:solidFill>
                <a:schemeClr val="dk1"/>
              </a:solidFill>
              <a:effectLst/>
              <a:latin typeface="+mn-lt"/>
              <a:ea typeface="+mn-ea"/>
              <a:cs typeface="+mn-cs"/>
            </a:rPr>
            <a:t> and the subsequent rate of convergence tends to rapidly slow down with the number of steps.</a:t>
          </a:r>
          <a:endParaRPr lang="it-IT" sz="1100" b="0" i="0">
            <a:solidFill>
              <a:schemeClr val="dk1"/>
            </a:solidFill>
            <a:effectLst/>
            <a:latin typeface="+mn-lt"/>
            <a:ea typeface="+mn-ea"/>
            <a:cs typeface="+mn-cs"/>
          </a:endParaRPr>
        </a:p>
        <a:p>
          <a:pPr algn="l"/>
          <a:endParaRPr lang="it-IT" sz="1100" b="0" i="0">
            <a:solidFill>
              <a:schemeClr val="dk1"/>
            </a:solidFill>
            <a:effectLst/>
            <a:latin typeface="+mn-lt"/>
            <a:ea typeface="+mn-ea"/>
            <a:cs typeface="+mn-cs"/>
          </a:endParaRPr>
        </a:p>
        <a:p>
          <a:pPr algn="l"/>
          <a:endParaRPr lang="it-IT" sz="1100" baseline="0"/>
        </a:p>
        <a:p>
          <a:pPr algn="l"/>
          <a:endParaRPr lang="it-IT" sz="1100" baseline="0"/>
        </a:p>
        <a:p>
          <a:pPr algn="l"/>
          <a:endParaRPr lang="it-IT" sz="1100" baseline="0"/>
        </a:p>
        <a:p>
          <a:pPr algn="l"/>
          <a:endParaRPr lang="it-IT" sz="1100" baseline="0"/>
        </a:p>
        <a:p>
          <a:pPr algn="l"/>
          <a:r>
            <a:rPr lang="it-IT" sz="1100" baseline="0"/>
            <a:t>Fundamental equations to construct the binomial tree following the CRR method.</a:t>
          </a:r>
        </a:p>
        <a:p>
          <a:pPr algn="l"/>
          <a:r>
            <a:rPr lang="it-IT" sz="1100" b="0" i="0" baseline="0">
              <a:solidFill>
                <a:schemeClr val="dk1"/>
              </a:solidFill>
              <a:effectLst/>
              <a:latin typeface="+mn-lt"/>
              <a:ea typeface="+mn-ea"/>
              <a:cs typeface="+mn-cs"/>
            </a:rPr>
            <a:t>The</a:t>
          </a:r>
          <a:r>
            <a:rPr lang="it-IT" sz="1100" b="0" i="0">
              <a:solidFill>
                <a:schemeClr val="dk1"/>
              </a:solidFill>
              <a:effectLst/>
              <a:latin typeface="+mn-lt"/>
              <a:ea typeface="+mn-ea"/>
              <a:cs typeface="+mn-cs"/>
            </a:rPr>
            <a:t> rate of convergence was later studied by Leisen (1998) who showed that the CRR tree converges with order 1.</a:t>
          </a:r>
          <a:endParaRPr lang="it-IT" sz="1100" baseline="0"/>
        </a:p>
        <a:p>
          <a:pPr algn="l"/>
          <a:endParaRPr lang="it-IT" sz="1100" baseline="0"/>
        </a:p>
        <a:p>
          <a:pPr algn="l"/>
          <a:endParaRPr lang="it-IT" sz="1100" b="0" i="0">
            <a:solidFill>
              <a:schemeClr val="dk1"/>
            </a:solidFill>
            <a:effectLst/>
            <a:latin typeface="+mn-lt"/>
            <a:ea typeface="+mn-ea"/>
            <a:cs typeface="+mn-cs"/>
          </a:endParaRPr>
        </a:p>
        <a:p>
          <a:pPr algn="l"/>
          <a:endParaRPr lang="it-IT" sz="1100" b="0" i="0">
            <a:solidFill>
              <a:schemeClr val="dk1"/>
            </a:solidFill>
            <a:effectLst/>
            <a:latin typeface="+mn-lt"/>
            <a:ea typeface="+mn-ea"/>
            <a:cs typeface="+mn-cs"/>
          </a:endParaRPr>
        </a:p>
        <a:p>
          <a:pPr algn="l"/>
          <a:endParaRPr lang="it-IT" sz="1100" b="0" i="0">
            <a:solidFill>
              <a:schemeClr val="dk1"/>
            </a:solidFill>
            <a:effectLst/>
            <a:latin typeface="+mn-lt"/>
            <a:ea typeface="+mn-ea"/>
            <a:cs typeface="+mn-cs"/>
          </a:endParaRPr>
        </a:p>
        <a:p>
          <a:pPr algn="l"/>
          <a:endParaRPr lang="it-IT" sz="1100" b="0" i="0">
            <a:solidFill>
              <a:schemeClr val="dk1"/>
            </a:solidFill>
            <a:effectLst/>
            <a:latin typeface="+mn-lt"/>
            <a:ea typeface="+mn-ea"/>
            <a:cs typeface="+mn-cs"/>
          </a:endParaRPr>
        </a:p>
        <a:p>
          <a:pPr algn="l"/>
          <a:r>
            <a:rPr lang="it-IT" sz="1100" b="0" i="0">
              <a:solidFill>
                <a:schemeClr val="dk1"/>
              </a:solidFill>
              <a:effectLst/>
              <a:latin typeface="+mn-lt"/>
              <a:ea typeface="+mn-ea"/>
              <a:cs typeface="+mn-cs"/>
            </a:rPr>
            <a:t>The </a:t>
          </a:r>
          <a:r>
            <a:rPr lang="it-IT" sz="1100" b="1" i="0">
              <a:solidFill>
                <a:schemeClr val="dk1"/>
              </a:solidFill>
              <a:effectLst/>
              <a:latin typeface="+mn-lt"/>
              <a:ea typeface="+mn-ea"/>
              <a:cs typeface="+mn-cs"/>
            </a:rPr>
            <a:t>Leisen Reimer</a:t>
          </a:r>
          <a:r>
            <a:rPr lang="it-IT" sz="1100" b="1" i="0" baseline="0">
              <a:solidFill>
                <a:schemeClr val="dk1"/>
              </a:solidFill>
              <a:effectLst/>
              <a:latin typeface="+mn-lt"/>
              <a:ea typeface="+mn-ea"/>
              <a:cs typeface="+mn-cs"/>
            </a:rPr>
            <a:t> </a:t>
          </a:r>
          <a:r>
            <a:rPr lang="it-IT" sz="1100" b="0" i="0" baseline="0">
              <a:solidFill>
                <a:schemeClr val="dk1"/>
              </a:solidFill>
              <a:effectLst/>
              <a:latin typeface="+mn-lt"/>
              <a:ea typeface="+mn-ea"/>
              <a:cs typeface="+mn-cs"/>
            </a:rPr>
            <a:t>model is known for its rapid converge, it is also possible to deduce from the plots the higher quality of the convergence itself that, instead of its CRR counterpart, is not oscillatory.</a:t>
          </a:r>
        </a:p>
        <a:p>
          <a:pPr algn="l"/>
          <a:endParaRPr lang="it-IT" sz="1100" b="0" i="0" baseline="0">
            <a:solidFill>
              <a:schemeClr val="dk1"/>
            </a:solidFill>
            <a:effectLst/>
            <a:latin typeface="+mn-lt"/>
            <a:ea typeface="+mn-ea"/>
            <a:cs typeface="+mn-cs"/>
          </a:endParaRPr>
        </a:p>
        <a:p>
          <a:pPr algn="l"/>
          <a:endParaRPr lang="it-IT" sz="1100" b="0" i="0">
            <a:solidFill>
              <a:schemeClr val="dk1"/>
            </a:solidFill>
            <a:effectLst/>
            <a:latin typeface="+mn-lt"/>
            <a:ea typeface="+mn-ea"/>
            <a:cs typeface="+mn-cs"/>
          </a:endParaRPr>
        </a:p>
        <a:p>
          <a:pPr algn="l"/>
          <a:endParaRPr lang="it-IT" sz="1200" b="1" baseline="0"/>
        </a:p>
        <a:p>
          <a:pPr algn="l"/>
          <a:endParaRPr lang="it-IT" sz="1200" b="1" baseline="0"/>
        </a:p>
        <a:p>
          <a:pPr algn="l"/>
          <a:endParaRPr lang="it-IT" sz="1200" b="1" baseline="0"/>
        </a:p>
        <a:p>
          <a:pPr algn="l"/>
          <a:endParaRPr lang="it-IT" sz="1200" b="1" baseline="0"/>
        </a:p>
        <a:p>
          <a:pPr algn="l"/>
          <a:endParaRPr lang="it-IT" sz="1200" b="1" baseline="0"/>
        </a:p>
        <a:p>
          <a:pPr algn="l"/>
          <a:endParaRPr lang="it-IT" sz="1200" b="1" baseline="0"/>
        </a:p>
        <a:p>
          <a:pPr algn="l"/>
          <a:endParaRPr lang="it-IT" sz="1200" b="1" baseline="0"/>
        </a:p>
        <a:p>
          <a:pPr fontAlgn="base"/>
          <a:endParaRPr lang="it-IT" sz="1100" b="0" baseline="0"/>
        </a:p>
        <a:p>
          <a:pPr fontAlgn="base"/>
          <a:r>
            <a:rPr lang="it-IT" sz="1100" b="0" baseline="0"/>
            <a:t>The above formulas work for the Leisen-Reimer method, </a:t>
          </a:r>
          <a:r>
            <a:rPr lang="it-IT" sz="1100" b="0" i="0" baseline="0">
              <a:solidFill>
                <a:schemeClr val="dk1"/>
              </a:solidFill>
              <a:effectLst/>
              <a:latin typeface="+mn-lt"/>
              <a:ea typeface="+mn-ea"/>
              <a:cs typeface="+mn-cs"/>
            </a:rPr>
            <a:t>t</a:t>
          </a:r>
          <a:r>
            <a:rPr lang="it-IT" sz="1100" b="0" i="0">
              <a:solidFill>
                <a:schemeClr val="dk1"/>
              </a:solidFill>
              <a:effectLst/>
              <a:latin typeface="+mn-lt"/>
              <a:ea typeface="+mn-ea"/>
              <a:cs typeface="+mn-cs"/>
            </a:rPr>
            <a:t>he exponent term </a:t>
          </a:r>
          <a:r>
            <a:rPr lang="it-IT" sz="1100" b="0" i="1">
              <a:solidFill>
                <a:schemeClr val="dk1"/>
              </a:solidFill>
              <a:effectLst/>
              <a:latin typeface="+mn-lt"/>
              <a:ea typeface="+mn-ea"/>
              <a:cs typeface="+mn-cs"/>
            </a:rPr>
            <a:t>e</a:t>
          </a:r>
          <a:r>
            <a:rPr lang="it-IT" sz="1100" b="0" i="1" baseline="30000">
              <a:solidFill>
                <a:schemeClr val="dk1"/>
              </a:solidFill>
              <a:effectLst/>
              <a:latin typeface="+mn-lt"/>
              <a:ea typeface="+mn-ea"/>
              <a:cs typeface="+mn-cs"/>
            </a:rPr>
            <a:t>(r-q)</a:t>
          </a:r>
          <a:r>
            <a:rPr lang="el-GR" sz="1100" b="0" i="1" baseline="30000">
              <a:solidFill>
                <a:schemeClr val="dk1"/>
              </a:solidFill>
              <a:effectLst/>
              <a:latin typeface="+mn-lt"/>
              <a:ea typeface="+mn-ea"/>
              <a:cs typeface="+mn-cs"/>
            </a:rPr>
            <a:t>Δ</a:t>
          </a:r>
          <a:r>
            <a:rPr lang="it-IT" sz="1100" b="0" i="1" baseline="30000">
              <a:solidFill>
                <a:schemeClr val="dk1"/>
              </a:solidFill>
              <a:effectLst/>
              <a:latin typeface="+mn-lt"/>
              <a:ea typeface="+mn-ea"/>
              <a:cs typeface="+mn-cs"/>
            </a:rPr>
            <a:t>t</a:t>
          </a:r>
          <a:r>
            <a:rPr lang="it-IT" sz="1100" b="0" i="0">
              <a:solidFill>
                <a:schemeClr val="dk1"/>
              </a:solidFill>
              <a:effectLst/>
              <a:latin typeface="+mn-lt"/>
              <a:ea typeface="+mn-ea"/>
              <a:cs typeface="+mn-cs"/>
            </a:rPr>
            <a:t> has</a:t>
          </a:r>
          <a:r>
            <a:rPr lang="it-IT" sz="1100" b="0" i="0" baseline="0">
              <a:solidFill>
                <a:schemeClr val="dk1"/>
              </a:solidFill>
              <a:effectLst/>
              <a:latin typeface="+mn-lt"/>
              <a:ea typeface="+mn-ea"/>
              <a:cs typeface="+mn-cs"/>
            </a:rPr>
            <a:t> already been studied, with the cost of carry b=r-q</a:t>
          </a:r>
          <a:r>
            <a:rPr lang="it-IT" sz="1100" b="0" i="0">
              <a:solidFill>
                <a:schemeClr val="dk1"/>
              </a:solidFill>
              <a:effectLst/>
              <a:latin typeface="+mn-lt"/>
              <a:ea typeface="+mn-ea"/>
              <a:cs typeface="+mn-cs"/>
            </a:rPr>
            <a:t>. It can be interpreted as net cost of holding the underlying security over one step, as </a:t>
          </a:r>
          <a:r>
            <a:rPr lang="el-GR" sz="1100" b="0" i="0">
              <a:solidFill>
                <a:schemeClr val="dk1"/>
              </a:solidFill>
              <a:effectLst/>
              <a:latin typeface="+mn-lt"/>
              <a:ea typeface="+mn-ea"/>
              <a:cs typeface="+mn-cs"/>
            </a:rPr>
            <a:t>Δ</a:t>
          </a:r>
          <a:r>
            <a:rPr lang="it-IT" sz="1100" b="0" i="0">
              <a:solidFill>
                <a:schemeClr val="dk1"/>
              </a:solidFill>
              <a:effectLst/>
              <a:latin typeface="+mn-lt"/>
              <a:ea typeface="+mn-ea"/>
              <a:cs typeface="+mn-cs"/>
            </a:rPr>
            <a:t>t is the duration of one step in years, calculated as </a:t>
          </a:r>
          <a:r>
            <a:rPr lang="it-IT" sz="1100" b="0" i="1">
              <a:solidFill>
                <a:schemeClr val="dk1"/>
              </a:solidFill>
              <a:effectLst/>
              <a:latin typeface="+mn-lt"/>
              <a:ea typeface="+mn-ea"/>
              <a:cs typeface="+mn-cs"/>
            </a:rPr>
            <a:t>t/n</a:t>
          </a:r>
          <a:r>
            <a:rPr lang="it-IT" sz="1100" b="0" i="0">
              <a:solidFill>
                <a:schemeClr val="dk1"/>
              </a:solidFill>
              <a:effectLst/>
              <a:latin typeface="+mn-lt"/>
              <a:ea typeface="+mn-ea"/>
              <a:cs typeface="+mn-cs"/>
            </a:rPr>
            <a:t>.</a:t>
          </a:r>
        </a:p>
        <a:p>
          <a:pPr fontAlgn="base"/>
          <a:r>
            <a:rPr lang="it-IT" sz="1100" b="0" i="0">
              <a:solidFill>
                <a:schemeClr val="dk1"/>
              </a:solidFill>
              <a:effectLst/>
              <a:latin typeface="+mn-lt"/>
              <a:ea typeface="+mn-ea"/>
              <a:cs typeface="+mn-cs"/>
            </a:rPr>
            <a:t>In each formula this term is multiplied by a ratio of two probabilities.</a:t>
          </a:r>
        </a:p>
        <a:p>
          <a:pPr fontAlgn="base"/>
          <a:r>
            <a:rPr lang="it-IT" sz="1100" b="0" i="0">
              <a:solidFill>
                <a:schemeClr val="dk1"/>
              </a:solidFill>
              <a:effectLst/>
              <a:latin typeface="+mn-lt"/>
              <a:ea typeface="+mn-ea"/>
              <a:cs typeface="+mn-cs"/>
            </a:rPr>
            <a:t>We can calculate p' using the Peizer-Pratt formula as </a:t>
          </a:r>
          <a:r>
            <a:rPr lang="it-IT" sz="1100" b="0" i="1">
              <a:solidFill>
                <a:schemeClr val="dk1"/>
              </a:solidFill>
              <a:effectLst/>
              <a:latin typeface="+mn-lt"/>
              <a:ea typeface="+mn-ea"/>
              <a:cs typeface="+mn-cs"/>
            </a:rPr>
            <a:t>p</a:t>
          </a:r>
          <a:r>
            <a:rPr lang="it-IT" sz="1100" b="0" i="0">
              <a:solidFill>
                <a:schemeClr val="dk1"/>
              </a:solidFill>
              <a:effectLst/>
              <a:latin typeface="+mn-lt"/>
              <a:ea typeface="+mn-ea"/>
              <a:cs typeface="+mn-cs"/>
            </a:rPr>
            <a:t>,</a:t>
          </a:r>
          <a:r>
            <a:rPr lang="it-IT" sz="1100" b="0" i="0" baseline="0">
              <a:solidFill>
                <a:schemeClr val="dk1"/>
              </a:solidFill>
              <a:effectLst/>
              <a:latin typeface="+mn-lt"/>
              <a:ea typeface="+mn-ea"/>
              <a:cs typeface="+mn-cs"/>
            </a:rPr>
            <a:t> </a:t>
          </a:r>
          <a:r>
            <a:rPr lang="it-IT" sz="1100" b="0" i="0">
              <a:solidFill>
                <a:schemeClr val="dk1"/>
              </a:solidFill>
              <a:effectLst/>
              <a:latin typeface="+mn-lt"/>
              <a:ea typeface="+mn-ea"/>
              <a:cs typeface="+mn-cs"/>
            </a:rPr>
            <a:t>using the Black-Scholes </a:t>
          </a:r>
          <a:r>
            <a:rPr lang="it-IT" sz="1100" b="0" i="1">
              <a:solidFill>
                <a:schemeClr val="dk1"/>
              </a:solidFill>
              <a:effectLst/>
              <a:latin typeface="+mn-lt"/>
              <a:ea typeface="+mn-ea"/>
              <a:cs typeface="+mn-cs"/>
            </a:rPr>
            <a:t>d</a:t>
          </a:r>
          <a:r>
            <a:rPr lang="it-IT" sz="1100" b="0" i="1" baseline="-25000">
              <a:solidFill>
                <a:schemeClr val="dk1"/>
              </a:solidFill>
              <a:effectLst/>
              <a:latin typeface="+mn-lt"/>
              <a:ea typeface="+mn-ea"/>
              <a:cs typeface="+mn-cs"/>
            </a:rPr>
            <a:t>1</a:t>
          </a:r>
          <a:r>
            <a:rPr lang="it-IT" sz="1100" b="0" i="0">
              <a:solidFill>
                <a:schemeClr val="dk1"/>
              </a:solidFill>
              <a:effectLst/>
              <a:latin typeface="+mn-lt"/>
              <a:ea typeface="+mn-ea"/>
              <a:cs typeface="+mn-cs"/>
            </a:rPr>
            <a:t> (instead of </a:t>
          </a:r>
          <a:r>
            <a:rPr lang="it-IT" sz="1100" b="0" i="1">
              <a:solidFill>
                <a:schemeClr val="dk1"/>
              </a:solidFill>
              <a:effectLst/>
              <a:latin typeface="+mn-lt"/>
              <a:ea typeface="+mn-ea"/>
              <a:cs typeface="+mn-cs"/>
            </a:rPr>
            <a:t>d</a:t>
          </a:r>
          <a:r>
            <a:rPr lang="it-IT" sz="1100" b="0" i="1" baseline="-25000">
              <a:solidFill>
                <a:schemeClr val="dk1"/>
              </a:solidFill>
              <a:effectLst/>
              <a:latin typeface="+mn-lt"/>
              <a:ea typeface="+mn-ea"/>
              <a:cs typeface="+mn-cs"/>
            </a:rPr>
            <a:t>2</a:t>
          </a:r>
          <a:r>
            <a:rPr lang="it-IT" sz="1100" b="0" i="0">
              <a:solidFill>
                <a:schemeClr val="dk1"/>
              </a:solidFill>
              <a:effectLst/>
              <a:latin typeface="+mn-lt"/>
              <a:ea typeface="+mn-ea"/>
              <a:cs typeface="+mn-cs"/>
            </a:rPr>
            <a:t>) as argument</a:t>
          </a:r>
          <a:r>
            <a:rPr lang="it-IT" sz="1100" b="0" i="0" baseline="0">
              <a:solidFill>
                <a:schemeClr val="dk1"/>
              </a:solidFill>
              <a:effectLst/>
              <a:latin typeface="+mn-lt"/>
              <a:ea typeface="+mn-ea"/>
              <a:cs typeface="+mn-cs"/>
            </a:rPr>
            <a:t>.</a:t>
          </a:r>
          <a:endParaRPr lang="it-IT" sz="1100" b="0" i="0">
            <a:solidFill>
              <a:schemeClr val="dk1"/>
            </a:solidFill>
            <a:effectLst/>
            <a:latin typeface="+mn-lt"/>
            <a:ea typeface="+mn-ea"/>
            <a:cs typeface="+mn-cs"/>
          </a:endParaRPr>
        </a:p>
        <a:p>
          <a:pPr algn="l"/>
          <a:endParaRPr lang="it-IT" sz="1100" b="0" baseline="0"/>
        </a:p>
        <a:p>
          <a:pPr algn="l"/>
          <a:endParaRPr lang="it-IT" sz="1100" b="0" baseline="0"/>
        </a:p>
        <a:p>
          <a:pPr algn="l"/>
          <a:endParaRPr lang="it-IT" sz="1100" b="0" baseline="0"/>
        </a:p>
        <a:p>
          <a:pPr algn="l"/>
          <a:endParaRPr lang="it-IT" sz="1100" b="0" baseline="0"/>
        </a:p>
        <a:p>
          <a:pPr algn="l"/>
          <a:endParaRPr lang="it-IT" sz="1100" b="0" baseline="0"/>
        </a:p>
        <a:p>
          <a:pPr algn="l"/>
          <a:r>
            <a:rPr lang="it-IT" sz="1100" b="0" baseline="0"/>
            <a:t>The Leisen-Reimer macro got a major optimization thanks to the truncation of the zero region of the tree that becomes a substantial compontents of the binomial lattice as the step number increases.</a:t>
          </a:r>
        </a:p>
      </xdr:txBody>
    </xdr:sp>
    <xdr:clientData/>
  </xdr:twoCellAnchor>
  <xdr:twoCellAnchor>
    <xdr:from>
      <xdr:col>0</xdr:col>
      <xdr:colOff>518160</xdr:colOff>
      <xdr:row>81</xdr:row>
      <xdr:rowOff>137160</xdr:rowOff>
    </xdr:from>
    <xdr:to>
      <xdr:col>8</xdr:col>
      <xdr:colOff>144780</xdr:colOff>
      <xdr:row>96</xdr:row>
      <xdr:rowOff>137160</xdr:rowOff>
    </xdr:to>
    <xdr:graphicFrame macro="">
      <xdr:nvGraphicFramePr>
        <xdr:cNvPr id="4" name="Grafico 3">
          <a:extLst>
            <a:ext uri="{FF2B5EF4-FFF2-40B4-BE49-F238E27FC236}">
              <a16:creationId xmlns:a16="http://schemas.microsoft.com/office/drawing/2014/main" id="{A9F15C30-4C40-444D-9316-3DAF3F3A40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594360</xdr:colOff>
      <xdr:row>132</xdr:row>
      <xdr:rowOff>167640</xdr:rowOff>
    </xdr:from>
    <xdr:to>
      <xdr:col>8</xdr:col>
      <xdr:colOff>220980</xdr:colOff>
      <xdr:row>147</xdr:row>
      <xdr:rowOff>167640</xdr:rowOff>
    </xdr:to>
    <xdr:graphicFrame macro="">
      <xdr:nvGraphicFramePr>
        <xdr:cNvPr id="6" name="Grafico 5">
          <a:extLst>
            <a:ext uri="{FF2B5EF4-FFF2-40B4-BE49-F238E27FC236}">
              <a16:creationId xmlns:a16="http://schemas.microsoft.com/office/drawing/2014/main" id="{D0D4E347-C40D-4BB5-828D-FF89F20E7A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556260</xdr:colOff>
      <xdr:row>150</xdr:row>
      <xdr:rowOff>121920</xdr:rowOff>
    </xdr:from>
    <xdr:to>
      <xdr:col>8</xdr:col>
      <xdr:colOff>182880</xdr:colOff>
      <xdr:row>165</xdr:row>
      <xdr:rowOff>106680</xdr:rowOff>
    </xdr:to>
    <xdr:graphicFrame macro="">
      <xdr:nvGraphicFramePr>
        <xdr:cNvPr id="12" name="Grafico 11">
          <a:extLst>
            <a:ext uri="{FF2B5EF4-FFF2-40B4-BE49-F238E27FC236}">
              <a16:creationId xmlns:a16="http://schemas.microsoft.com/office/drawing/2014/main" id="{969A3C4A-D837-4C71-B8CF-F915D15909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586740</xdr:colOff>
      <xdr:row>166</xdr:row>
      <xdr:rowOff>38100</xdr:rowOff>
    </xdr:from>
    <xdr:to>
      <xdr:col>8</xdr:col>
      <xdr:colOff>213360</xdr:colOff>
      <xdr:row>181</xdr:row>
      <xdr:rowOff>38100</xdr:rowOff>
    </xdr:to>
    <xdr:graphicFrame macro="">
      <xdr:nvGraphicFramePr>
        <xdr:cNvPr id="14" name="Grafico 13">
          <a:extLst>
            <a:ext uri="{FF2B5EF4-FFF2-40B4-BE49-F238E27FC236}">
              <a16:creationId xmlns:a16="http://schemas.microsoft.com/office/drawing/2014/main" id="{8558EC15-C3C3-44E4-8114-4C1CC228FF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617220</xdr:colOff>
      <xdr:row>182</xdr:row>
      <xdr:rowOff>15240</xdr:rowOff>
    </xdr:from>
    <xdr:to>
      <xdr:col>8</xdr:col>
      <xdr:colOff>243840</xdr:colOff>
      <xdr:row>197</xdr:row>
      <xdr:rowOff>15240</xdr:rowOff>
    </xdr:to>
    <xdr:graphicFrame macro="">
      <xdr:nvGraphicFramePr>
        <xdr:cNvPr id="15" name="Grafico 14">
          <a:extLst>
            <a:ext uri="{FF2B5EF4-FFF2-40B4-BE49-F238E27FC236}">
              <a16:creationId xmlns:a16="http://schemas.microsoft.com/office/drawing/2014/main" id="{F1FB1529-2EFB-4E05-9438-C7C3534E48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10</xdr:col>
      <xdr:colOff>419100</xdr:colOff>
      <xdr:row>14</xdr:row>
      <xdr:rowOff>60960</xdr:rowOff>
    </xdr:from>
    <xdr:to>
      <xdr:col>16</xdr:col>
      <xdr:colOff>175746</xdr:colOff>
      <xdr:row>25</xdr:row>
      <xdr:rowOff>76489</xdr:rowOff>
    </xdr:to>
    <xdr:pic>
      <xdr:nvPicPr>
        <xdr:cNvPr id="16" name="Immagine 15">
          <a:extLst>
            <a:ext uri="{FF2B5EF4-FFF2-40B4-BE49-F238E27FC236}">
              <a16:creationId xmlns:a16="http://schemas.microsoft.com/office/drawing/2014/main" id="{9397191E-2682-4748-9EA9-91D696898FDC}"/>
            </a:ext>
          </a:extLst>
        </xdr:cNvPr>
        <xdr:cNvPicPr>
          <a:picLocks noChangeAspect="1"/>
        </xdr:cNvPicPr>
      </xdr:nvPicPr>
      <xdr:blipFill>
        <a:blip xmlns:r="http://schemas.openxmlformats.org/officeDocument/2006/relationships" r:embed="rId8"/>
        <a:stretch>
          <a:fillRect/>
        </a:stretch>
      </xdr:blipFill>
      <xdr:spPr>
        <a:xfrm>
          <a:off x="6659880" y="2621280"/>
          <a:ext cx="3414246" cy="2027209"/>
        </a:xfrm>
        <a:prstGeom prst="rect">
          <a:avLst/>
        </a:prstGeom>
      </xdr:spPr>
    </xdr:pic>
    <xdr:clientData/>
  </xdr:twoCellAnchor>
  <xdr:twoCellAnchor editAs="oneCell">
    <xdr:from>
      <xdr:col>11</xdr:col>
      <xdr:colOff>167640</xdr:colOff>
      <xdr:row>40</xdr:row>
      <xdr:rowOff>136017</xdr:rowOff>
    </xdr:from>
    <xdr:to>
      <xdr:col>14</xdr:col>
      <xdr:colOff>480060</xdr:colOff>
      <xdr:row>42</xdr:row>
      <xdr:rowOff>158353</xdr:rowOff>
    </xdr:to>
    <xdr:pic>
      <xdr:nvPicPr>
        <xdr:cNvPr id="17" name="Immagine 16">
          <a:extLst>
            <a:ext uri="{FF2B5EF4-FFF2-40B4-BE49-F238E27FC236}">
              <a16:creationId xmlns:a16="http://schemas.microsoft.com/office/drawing/2014/main" id="{A7B9C589-40A9-44A3-9B60-81B4114000FA}"/>
            </a:ext>
          </a:extLst>
        </xdr:cNvPr>
        <xdr:cNvPicPr>
          <a:picLocks noChangeAspect="1"/>
        </xdr:cNvPicPr>
      </xdr:nvPicPr>
      <xdr:blipFill>
        <a:blip xmlns:r="http://schemas.openxmlformats.org/officeDocument/2006/relationships" r:embed="rId9"/>
        <a:stretch>
          <a:fillRect/>
        </a:stretch>
      </xdr:blipFill>
      <xdr:spPr>
        <a:xfrm>
          <a:off x="7018020" y="7451217"/>
          <a:ext cx="2141220" cy="388096"/>
        </a:xfrm>
        <a:prstGeom prst="rect">
          <a:avLst/>
        </a:prstGeom>
      </xdr:spPr>
    </xdr:pic>
    <xdr:clientData/>
  </xdr:twoCellAnchor>
  <xdr:twoCellAnchor editAs="oneCell">
    <xdr:from>
      <xdr:col>11</xdr:col>
      <xdr:colOff>584894</xdr:colOff>
      <xdr:row>55</xdr:row>
      <xdr:rowOff>129540</xdr:rowOff>
    </xdr:from>
    <xdr:to>
      <xdr:col>14</xdr:col>
      <xdr:colOff>373565</xdr:colOff>
      <xdr:row>61</xdr:row>
      <xdr:rowOff>122045</xdr:rowOff>
    </xdr:to>
    <xdr:pic>
      <xdr:nvPicPr>
        <xdr:cNvPr id="18" name="Immagine 17">
          <a:extLst>
            <a:ext uri="{FF2B5EF4-FFF2-40B4-BE49-F238E27FC236}">
              <a16:creationId xmlns:a16="http://schemas.microsoft.com/office/drawing/2014/main" id="{5148F06E-5560-402E-BA70-1EC0F2D51889}"/>
            </a:ext>
          </a:extLst>
        </xdr:cNvPr>
        <xdr:cNvPicPr>
          <a:picLocks noChangeAspect="1"/>
        </xdr:cNvPicPr>
      </xdr:nvPicPr>
      <xdr:blipFill>
        <a:blip xmlns:r="http://schemas.openxmlformats.org/officeDocument/2006/relationships" r:embed="rId10"/>
        <a:stretch>
          <a:fillRect/>
        </a:stretch>
      </xdr:blipFill>
      <xdr:spPr>
        <a:xfrm>
          <a:off x="7435274" y="10187940"/>
          <a:ext cx="1617471" cy="1089785"/>
        </a:xfrm>
        <a:prstGeom prst="rect">
          <a:avLst/>
        </a:prstGeom>
      </xdr:spPr>
    </xdr:pic>
    <xdr:clientData/>
  </xdr:twoCellAnchor>
  <xdr:twoCellAnchor editAs="oneCell">
    <xdr:from>
      <xdr:col>12</xdr:col>
      <xdr:colOff>194310</xdr:colOff>
      <xdr:row>70</xdr:row>
      <xdr:rowOff>129540</xdr:rowOff>
    </xdr:from>
    <xdr:to>
      <xdr:col>13</xdr:col>
      <xdr:colOff>548749</xdr:colOff>
      <xdr:row>72</xdr:row>
      <xdr:rowOff>114340</xdr:rowOff>
    </xdr:to>
    <xdr:pic>
      <xdr:nvPicPr>
        <xdr:cNvPr id="19" name="Immagine 18">
          <a:extLst>
            <a:ext uri="{FF2B5EF4-FFF2-40B4-BE49-F238E27FC236}">
              <a16:creationId xmlns:a16="http://schemas.microsoft.com/office/drawing/2014/main" id="{4BBB05EE-5A79-431B-BDF9-A9E3483CC29A}"/>
            </a:ext>
          </a:extLst>
        </xdr:cNvPr>
        <xdr:cNvPicPr>
          <a:picLocks noChangeAspect="1"/>
        </xdr:cNvPicPr>
      </xdr:nvPicPr>
      <xdr:blipFill>
        <a:blip xmlns:r="http://schemas.openxmlformats.org/officeDocument/2006/relationships" r:embed="rId11"/>
        <a:stretch>
          <a:fillRect/>
        </a:stretch>
      </xdr:blipFill>
      <xdr:spPr>
        <a:xfrm>
          <a:off x="7654290" y="12931140"/>
          <a:ext cx="964039" cy="35056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ED2ED81-302A-450C-AD86-9F0C55E30562}" name="Tabella3" displayName="Tabella3" ref="C24:G36" totalsRowShown="0">
  <autoFilter ref="C24:G36" xr:uid="{5ED2ED81-302A-450C-AD86-9F0C55E30562}"/>
  <tableColumns count="5">
    <tableColumn id="1" xr3:uid="{33CC8EC4-C1B4-47BF-8656-1B9D38AC61B5}" name="T=2/12"/>
    <tableColumn id="2" xr3:uid="{79C0EA11-03E8-4DFB-A27E-8FD308CDA875}" name="20/05/2022"/>
    <tableColumn id="3" xr3:uid="{ADB56A07-C0AB-4501-8693-0894B8FDF785}" name="call"/>
    <tableColumn id="4" xr3:uid="{AF6C1EE4-9210-47FD-A3C6-AFD90CD80515}" name="put"/>
    <tableColumn id="5" xr3:uid="{6304D164-44E4-4BE4-995B-A61E4230642B}" name="Colonna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E07861D-6693-4D89-9BDF-5B0EA84EA992}" name="Tabella4" displayName="Tabella4" ref="C37:G49" totalsRowShown="0">
  <autoFilter ref="C37:G49" xr:uid="{9E07861D-6693-4D89-9BDF-5B0EA84EA992}"/>
  <tableColumns count="5">
    <tableColumn id="1" xr3:uid="{6CDD5086-3F4B-469D-B169-1C01DD9E0A8F}" name="T=3/12"/>
    <tableColumn id="2" xr3:uid="{1BB08EE4-7768-42DC-9E67-9A6076951B9A}" name="17/06/2022"/>
    <tableColumn id="3" xr3:uid="{B79366C7-5CED-4EFD-8621-571898664F77}" name="call"/>
    <tableColumn id="4" xr3:uid="{E8796364-0D19-4AD9-8AE8-D7F8619E2CB0}" name="put"/>
    <tableColumn id="5" xr3:uid="{5589DCAA-6186-41BB-A808-B6D5FBDFD852}" name="Colonna1"/>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CFA49AB-20F6-4845-A82C-1FD53287E9C1}" name="Tabella5" displayName="Tabella5" ref="L1:P13" totalsRowShown="0">
  <autoFilter ref="L1:P13" xr:uid="{ACFA49AB-20F6-4845-A82C-1FD53287E9C1}"/>
  <tableColumns count="5">
    <tableColumn id="1" xr3:uid="{4682A0F0-99F5-4609-8539-144D90D3C19A}" name="T=5/12"/>
    <tableColumn id="2" xr3:uid="{3745AEEF-6EB5-4EFC-9B8B-D11EE3095445}" name="19/08/2022"/>
    <tableColumn id="3" xr3:uid="{CA6CFB39-5455-41A3-94E8-3A7BC7786229}" name="call"/>
    <tableColumn id="4" xr3:uid="{0D0A6E08-DBDA-411E-8CB2-664FD967C1A8}" name="put"/>
    <tableColumn id="5" xr3:uid="{89102401-66C3-47E0-BF34-BC07F522B714}" name="Colonna1"/>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7AA6810-7DE0-4939-8077-FD811AF5FED1}" name="Tabella6" displayName="Tabella6" ref="L14:P26" totalsRowShown="0">
  <autoFilter ref="L14:P26" xr:uid="{D7AA6810-7DE0-4939-8077-FD811AF5FED1}"/>
  <tableColumns count="5">
    <tableColumn id="1" xr3:uid="{AE01B365-69B1-41DE-8F4B-E5FABD6A5B56}" name="T=10/12"/>
    <tableColumn id="2" xr3:uid="{2FAC452A-E180-4FEC-A200-BFF25591F5CA}" name="20/01/2023"/>
    <tableColumn id="3" xr3:uid="{B158878F-CCD3-4F2D-8770-9F7DA10F4891}" name="call"/>
    <tableColumn id="4" xr3:uid="{00B69094-2559-4E70-A938-F4FFB3DC775E}" name="put"/>
    <tableColumn id="5" xr3:uid="{35C02EE3-AEB8-4591-A73A-F041A6C35E15}" name="Colonna1"/>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7300D6-1516-40D7-BEB4-604BA5605012}" name="Tabella1" displayName="Tabella1" ref="C109:G129" totalsRowShown="0">
  <autoFilter ref="C109:G129" xr:uid="{F77300D6-1516-40D7-BEB4-604BA5605012}"/>
  <tableColumns count="5">
    <tableColumn id="1" xr3:uid="{9720223D-96E6-49F8-979D-9DA28F98E67E}" name="n"/>
    <tableColumn id="2" xr3:uid="{3DB5C9C3-FD45-4BD8-8360-6F3D207E5E0C}" name="leis-reim">
      <calculatedColumnFormula array="1">LeisenReimerTrunc(H$4,G$4,A$4,E$4,D$4,B$4,B$4,C$4,C110)</calculatedColumnFormula>
    </tableColumn>
    <tableColumn id="3" xr3:uid="{3A907CF5-9B61-4F26-A3DC-15C8ABD40943}" name="B&amp;S"/>
    <tableColumn id="4" xr3:uid="{54471584-C04A-491B-B8A9-EF36398798B9}" name="rate"/>
    <tableColumn id="5" xr3:uid="{A75C5443-3A1F-44DD-883D-A6040754FA4C}" name="error">
      <calculatedColumnFormula>ABS(D110-E110)</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76930D0-F911-4618-9E9D-4040EBEB1F83}" name="Tabella2" displayName="Tabella2" ref="C9:G29" totalsRowShown="0">
  <autoFilter ref="C9:G29" xr:uid="{876930D0-F911-4618-9E9D-4040EBEB1F83}"/>
  <tableColumns count="5">
    <tableColumn id="1" xr3:uid="{4E504B33-6A39-4B04-BCE6-7EA550F97F9D}" name="n"/>
    <tableColumn id="2" xr3:uid="{E739AD93-DAC3-4013-BAB2-B2C19B5A9184}" name="CRRTree">
      <calculatedColumnFormula array="1">CRRTree(A$4,E$4,D$4,B$4,C$4,C10,G$4,H$4)</calculatedColumnFormula>
    </tableColumn>
    <tableColumn id="3" xr3:uid="{81E46ABF-5C6D-4A25-A933-CE3B42D6EC74}" name="B&amp;S"/>
    <tableColumn id="4" xr3:uid="{867BF3D0-21BE-4DA6-9E3D-5747A5ED52A6}" name="rate"/>
    <tableColumn id="5" xr3:uid="{DFFE97E6-7352-4328-B32D-661868F58AE9}" name="error">
      <calculatedColumnFormula>ABS(E10-D10)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FB6C5F4-F250-4AFA-B5B2-F34B6708C1A5}" name="Tabella7" displayName="Tabella7" ref="A3:H4" totalsRowShown="0">
  <autoFilter ref="A3:H4" xr:uid="{9FB6C5F4-F250-4AFA-B5B2-F34B6708C1A5}"/>
  <tableColumns count="8">
    <tableColumn id="1" xr3:uid="{39C15E1C-FA83-44F7-BF82-688C0A48CCD1}" name="S"/>
    <tableColumn id="2" xr3:uid="{98417FC6-9001-41F3-9707-FFBE53A99D30}" name="r" dataDxfId="1"/>
    <tableColumn id="3" xr3:uid="{91D859B3-63A0-4586-B85A-ABAB0B226F0F}" name="vol" dataDxfId="0"/>
    <tableColumn id="4" xr3:uid="{86493D84-2218-43CB-B1EC-51B9CE181BFC}" name="T"/>
    <tableColumn id="5" xr3:uid="{6CD768E8-FF45-4F81-B3FF-2A3083BFE73A}" name="K"/>
    <tableColumn id="6" xr3:uid="{F1A95D25-5615-4DB6-AA63-21D281ED5B62}" name="n"/>
    <tableColumn id="7" xr3:uid="{ED42077D-9F9C-41A2-8F99-AC9B198FF05F}" name="opt"/>
    <tableColumn id="8" xr3:uid="{0099911B-BD6E-4AC7-8FB7-92CB94F69A3F}" name="ex"/>
  </tableColumns>
  <tableStyleInfo name="TableStyleLight14"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7.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C7B70-D2E7-4AF0-ABA0-67CEF87F510C}">
  <sheetPr codeName="Foglio1"/>
  <dimension ref="C1:P49"/>
  <sheetViews>
    <sheetView tabSelected="1" workbookViewId="0">
      <selection activeCell="F40" sqref="F40"/>
    </sheetView>
  </sheetViews>
  <sheetFormatPr defaultRowHeight="14.4" x14ac:dyDescent="0.3"/>
  <cols>
    <col min="2" max="2" width="12.6640625" customWidth="1"/>
    <col min="5" max="5" width="10.88671875" customWidth="1"/>
    <col min="10" max="10" width="9.77734375" customWidth="1"/>
    <col min="11" max="11" width="12.6640625" customWidth="1"/>
    <col min="14" max="14" width="10.88671875" customWidth="1"/>
  </cols>
  <sheetData>
    <row r="1" spans="12:16" x14ac:dyDescent="0.3">
      <c r="L1" t="s">
        <v>36</v>
      </c>
      <c r="M1" s="1" t="s">
        <v>40</v>
      </c>
      <c r="N1" s="2" t="s">
        <v>3</v>
      </c>
      <c r="O1" t="s">
        <v>4</v>
      </c>
      <c r="P1" t="s">
        <v>38</v>
      </c>
    </row>
    <row r="2" spans="12:16" x14ac:dyDescent="0.3">
      <c r="L2" t="s">
        <v>1</v>
      </c>
      <c r="M2">
        <v>77.5</v>
      </c>
      <c r="N2">
        <v>13.15</v>
      </c>
      <c r="O2">
        <v>1.26</v>
      </c>
    </row>
    <row r="3" spans="12:16" x14ac:dyDescent="0.3">
      <c r="L3" t="s">
        <v>2</v>
      </c>
      <c r="M3">
        <v>105</v>
      </c>
      <c r="N3">
        <v>0.4</v>
      </c>
      <c r="O3">
        <v>9.1999999999999993</v>
      </c>
    </row>
    <row r="4" spans="12:16" x14ac:dyDescent="0.3">
      <c r="L4" t="s">
        <v>5</v>
      </c>
      <c r="M4">
        <f>M3-M2</f>
        <v>27.5</v>
      </c>
    </row>
    <row r="5" spans="12:16" x14ac:dyDescent="0.3">
      <c r="L5" t="s">
        <v>7</v>
      </c>
      <c r="M5">
        <f>N2-N3+O3-O2</f>
        <v>20.689999999999998</v>
      </c>
    </row>
    <row r="6" spans="12:16" x14ac:dyDescent="0.3">
      <c r="L6" t="s">
        <v>6</v>
      </c>
      <c r="M6">
        <f>M5/M4</f>
        <v>0.75236363636363623</v>
      </c>
      <c r="N6" t="s">
        <v>8</v>
      </c>
    </row>
    <row r="7" spans="12:16" ht="12.6" customHeight="1" x14ac:dyDescent="0.3">
      <c r="L7" t="s">
        <v>15</v>
      </c>
      <c r="M7">
        <v>97.5</v>
      </c>
    </row>
    <row r="8" spans="12:16" ht="13.8" customHeight="1" x14ac:dyDescent="0.3">
      <c r="L8" t="s">
        <v>13</v>
      </c>
      <c r="M8">
        <v>98.89</v>
      </c>
      <c r="N8" s="3"/>
    </row>
    <row r="9" spans="12:16" x14ac:dyDescent="0.3">
      <c r="L9" t="s">
        <v>10</v>
      </c>
      <c r="N9" t="s">
        <v>3</v>
      </c>
      <c r="O9" t="s">
        <v>4</v>
      </c>
      <c r="P9" t="s">
        <v>9</v>
      </c>
    </row>
    <row r="10" spans="12:16" x14ac:dyDescent="0.3">
      <c r="L10" t="s">
        <v>11</v>
      </c>
      <c r="N10">
        <v>1.75</v>
      </c>
      <c r="O10">
        <v>1.1499999999999999</v>
      </c>
      <c r="P10">
        <f>N10-O10</f>
        <v>0.60000000000000009</v>
      </c>
    </row>
    <row r="11" spans="12:16" x14ac:dyDescent="0.3">
      <c r="L11" t="s">
        <v>12</v>
      </c>
    </row>
    <row r="12" spans="12:16" x14ac:dyDescent="0.3">
      <c r="L12" t="s">
        <v>14</v>
      </c>
    </row>
    <row r="13" spans="12:16" x14ac:dyDescent="0.3">
      <c r="L13">
        <f>(-P10+M8-(M7*M6))/M6</f>
        <v>33.141614306428252</v>
      </c>
    </row>
    <row r="14" spans="12:16" x14ac:dyDescent="0.3">
      <c r="L14" t="s">
        <v>16</v>
      </c>
      <c r="M14" s="1" t="s">
        <v>41</v>
      </c>
      <c r="N14" s="2" t="s">
        <v>3</v>
      </c>
      <c r="O14" t="s">
        <v>4</v>
      </c>
      <c r="P14" t="s">
        <v>38</v>
      </c>
    </row>
    <row r="15" spans="12:16" x14ac:dyDescent="0.3">
      <c r="L15" t="s">
        <v>1</v>
      </c>
      <c r="M15">
        <v>77.5</v>
      </c>
      <c r="N15">
        <v>20.010000000000002</v>
      </c>
      <c r="O15">
        <v>1.95</v>
      </c>
    </row>
    <row r="16" spans="12:16" x14ac:dyDescent="0.3">
      <c r="L16" t="s">
        <v>2</v>
      </c>
      <c r="M16">
        <v>110</v>
      </c>
      <c r="N16">
        <v>1.05</v>
      </c>
      <c r="O16">
        <v>31.68</v>
      </c>
    </row>
    <row r="17" spans="3:16" x14ac:dyDescent="0.3">
      <c r="L17" t="s">
        <v>5</v>
      </c>
      <c r="M17">
        <f>M16-M15</f>
        <v>32.5</v>
      </c>
    </row>
    <row r="18" spans="3:16" x14ac:dyDescent="0.3">
      <c r="L18" t="s">
        <v>7</v>
      </c>
      <c r="M18">
        <f>N15-N16+O16-O15</f>
        <v>48.69</v>
      </c>
    </row>
    <row r="19" spans="3:16" x14ac:dyDescent="0.3">
      <c r="L19" t="s">
        <v>6</v>
      </c>
      <c r="M19">
        <f>M18/M17</f>
        <v>1.4981538461538462</v>
      </c>
      <c r="N19" t="s">
        <v>8</v>
      </c>
    </row>
    <row r="20" spans="3:16" x14ac:dyDescent="0.3">
      <c r="L20" t="s">
        <v>15</v>
      </c>
      <c r="M20">
        <v>97.5</v>
      </c>
    </row>
    <row r="21" spans="3:16" x14ac:dyDescent="0.3">
      <c r="L21" t="s">
        <v>13</v>
      </c>
      <c r="M21">
        <v>98.89</v>
      </c>
      <c r="N21" s="3"/>
    </row>
    <row r="22" spans="3:16" x14ac:dyDescent="0.3">
      <c r="L22" t="s">
        <v>10</v>
      </c>
      <c r="N22" t="s">
        <v>3</v>
      </c>
      <c r="O22" t="s">
        <v>4</v>
      </c>
      <c r="P22" t="s">
        <v>9</v>
      </c>
    </row>
    <row r="23" spans="3:16" x14ac:dyDescent="0.3">
      <c r="L23" t="s">
        <v>11</v>
      </c>
      <c r="N23">
        <v>1.75</v>
      </c>
      <c r="O23">
        <v>1.1499999999999999</v>
      </c>
      <c r="P23">
        <f>N23-O23</f>
        <v>0.60000000000000009</v>
      </c>
    </row>
    <row r="24" spans="3:16" x14ac:dyDescent="0.3">
      <c r="C24" t="s">
        <v>0</v>
      </c>
      <c r="D24" s="1" t="s">
        <v>37</v>
      </c>
      <c r="E24" s="2" t="s">
        <v>3</v>
      </c>
      <c r="F24" t="s">
        <v>4</v>
      </c>
      <c r="G24" t="s">
        <v>38</v>
      </c>
      <c r="L24" t="s">
        <v>12</v>
      </c>
    </row>
    <row r="25" spans="3:16" x14ac:dyDescent="0.3">
      <c r="C25" t="s">
        <v>1</v>
      </c>
      <c r="D25">
        <v>77.5</v>
      </c>
      <c r="E25">
        <v>12.8</v>
      </c>
      <c r="F25">
        <v>0.15</v>
      </c>
      <c r="L25" t="s">
        <v>14</v>
      </c>
    </row>
    <row r="26" spans="3:16" x14ac:dyDescent="0.3">
      <c r="C26" t="s">
        <v>2</v>
      </c>
      <c r="D26">
        <v>115</v>
      </c>
      <c r="E26">
        <v>0.35</v>
      </c>
      <c r="F26">
        <v>20.54</v>
      </c>
      <c r="L26">
        <f>(-P23+M21-(M20*M19))/M19</f>
        <v>-31.89258574655986</v>
      </c>
    </row>
    <row r="27" spans="3:16" x14ac:dyDescent="0.3">
      <c r="C27" t="s">
        <v>5</v>
      </c>
      <c r="D27">
        <f>D26-D25</f>
        <v>37.5</v>
      </c>
    </row>
    <row r="28" spans="3:16" x14ac:dyDescent="0.3">
      <c r="C28" t="s">
        <v>7</v>
      </c>
      <c r="D28">
        <f>E25-E26+F26-F25</f>
        <v>32.840000000000003</v>
      </c>
    </row>
    <row r="29" spans="3:16" x14ac:dyDescent="0.3">
      <c r="C29" t="s">
        <v>6</v>
      </c>
      <c r="D29">
        <f>D28/D27</f>
        <v>0.87573333333333347</v>
      </c>
      <c r="E29" t="s">
        <v>8</v>
      </c>
    </row>
    <row r="30" spans="3:16" x14ac:dyDescent="0.3">
      <c r="C30" t="s">
        <v>15</v>
      </c>
      <c r="D30">
        <v>97.5</v>
      </c>
    </row>
    <row r="31" spans="3:16" x14ac:dyDescent="0.3">
      <c r="C31" t="s">
        <v>13</v>
      </c>
      <c r="D31">
        <v>97.8</v>
      </c>
      <c r="E31" s="3"/>
    </row>
    <row r="32" spans="3:16" x14ac:dyDescent="0.3">
      <c r="C32" t="s">
        <v>10</v>
      </c>
      <c r="E32" t="s">
        <v>3</v>
      </c>
      <c r="F32" t="s">
        <v>4</v>
      </c>
      <c r="G32" t="s">
        <v>9</v>
      </c>
    </row>
    <row r="33" spans="3:7" x14ac:dyDescent="0.3">
      <c r="C33" t="s">
        <v>11</v>
      </c>
      <c r="E33">
        <v>1.75</v>
      </c>
      <c r="F33">
        <v>1.1499999999999999</v>
      </c>
      <c r="G33">
        <f>E33-F33</f>
        <v>0.60000000000000009</v>
      </c>
    </row>
    <row r="34" spans="3:7" x14ac:dyDescent="0.3">
      <c r="C34" t="s">
        <v>12</v>
      </c>
    </row>
    <row r="35" spans="3:7" x14ac:dyDescent="0.3">
      <c r="C35" t="s">
        <v>14</v>
      </c>
    </row>
    <row r="36" spans="3:7" x14ac:dyDescent="0.3">
      <c r="C36">
        <f>(-G33+D31-(D30*D29))/D29</f>
        <v>13.492691839220447</v>
      </c>
    </row>
    <row r="37" spans="3:7" x14ac:dyDescent="0.3">
      <c r="C37" t="s">
        <v>17</v>
      </c>
      <c r="D37" s="1" t="s">
        <v>39</v>
      </c>
      <c r="E37" s="2" t="s">
        <v>3</v>
      </c>
      <c r="F37" t="s">
        <v>4</v>
      </c>
      <c r="G37" t="s">
        <v>38</v>
      </c>
    </row>
    <row r="38" spans="3:7" x14ac:dyDescent="0.3">
      <c r="C38" t="s">
        <v>1</v>
      </c>
      <c r="D38" s="5">
        <v>77.5</v>
      </c>
      <c r="E38">
        <v>13.7</v>
      </c>
      <c r="F38">
        <v>0.28000000000000003</v>
      </c>
    </row>
    <row r="39" spans="3:7" x14ac:dyDescent="0.3">
      <c r="C39" t="s">
        <v>2</v>
      </c>
      <c r="D39">
        <v>110</v>
      </c>
      <c r="E39">
        <v>0.3</v>
      </c>
      <c r="F39">
        <v>3.37</v>
      </c>
    </row>
    <row r="40" spans="3:7" x14ac:dyDescent="0.3">
      <c r="C40" t="s">
        <v>5</v>
      </c>
      <c r="D40">
        <f>D39-D38</f>
        <v>32.5</v>
      </c>
    </row>
    <row r="41" spans="3:7" x14ac:dyDescent="0.3">
      <c r="C41" t="s">
        <v>7</v>
      </c>
      <c r="D41">
        <f>E38-E39+F39-F38</f>
        <v>16.489999999999998</v>
      </c>
    </row>
    <row r="42" spans="3:7" x14ac:dyDescent="0.3">
      <c r="C42" t="s">
        <v>6</v>
      </c>
      <c r="D42">
        <f>D41/D40</f>
        <v>0.50738461538461532</v>
      </c>
      <c r="E42" t="s">
        <v>8</v>
      </c>
    </row>
    <row r="43" spans="3:7" x14ac:dyDescent="0.3">
      <c r="C43" t="s">
        <v>15</v>
      </c>
      <c r="D43">
        <v>97.75</v>
      </c>
    </row>
    <row r="44" spans="3:7" x14ac:dyDescent="0.3">
      <c r="C44" t="s">
        <v>13</v>
      </c>
      <c r="D44">
        <v>99.77</v>
      </c>
      <c r="E44" s="3"/>
    </row>
    <row r="45" spans="3:7" x14ac:dyDescent="0.3">
      <c r="C45" t="s">
        <v>10</v>
      </c>
      <c r="E45" t="s">
        <v>3</v>
      </c>
      <c r="F45" t="s">
        <v>4</v>
      </c>
      <c r="G45" t="s">
        <v>9</v>
      </c>
    </row>
    <row r="46" spans="3:7" x14ac:dyDescent="0.3">
      <c r="C46" t="s">
        <v>11</v>
      </c>
      <c r="E46">
        <v>4.8</v>
      </c>
      <c r="F46">
        <v>2.4300000000000002</v>
      </c>
      <c r="G46">
        <f>E46-F46</f>
        <v>2.3699999999999997</v>
      </c>
    </row>
    <row r="47" spans="3:7" x14ac:dyDescent="0.3">
      <c r="C47" t="s">
        <v>12</v>
      </c>
    </row>
    <row r="48" spans="3:7" x14ac:dyDescent="0.3">
      <c r="C48" t="s">
        <v>14</v>
      </c>
    </row>
    <row r="49" spans="3:3" x14ac:dyDescent="0.3">
      <c r="C49">
        <f>(-G46+D44-(D43*D42))/D42</f>
        <v>94.214827167980587</v>
      </c>
    </row>
  </sheetData>
  <pageMargins left="0.7" right="0.7" top="0.75" bottom="0.75" header="0.3" footer="0.3"/>
  <pageSetup paperSize="9" orientation="portrait" r:id="rId1"/>
  <drawing r:id="rId2"/>
  <tableParts count="4">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A08EA-37E6-4D90-AE98-1556D5BFC188}">
  <sheetPr codeName="Foglio2"/>
  <dimension ref="A3:H129"/>
  <sheetViews>
    <sheetView topLeftCell="A53" workbookViewId="0">
      <selection activeCell="M78" sqref="M78"/>
    </sheetView>
  </sheetViews>
  <sheetFormatPr defaultRowHeight="14.4" x14ac:dyDescent="0.3"/>
  <cols>
    <col min="1" max="3" width="9.21875" bestFit="1" customWidth="1"/>
    <col min="4" max="4" width="10" customWidth="1"/>
  </cols>
  <sheetData>
    <row r="3" spans="1:8" x14ac:dyDescent="0.3">
      <c r="A3" t="s">
        <v>13</v>
      </c>
      <c r="B3" t="s">
        <v>18</v>
      </c>
      <c r="C3" t="s">
        <v>19</v>
      </c>
      <c r="D3" t="s">
        <v>20</v>
      </c>
      <c r="E3" t="s">
        <v>21</v>
      </c>
      <c r="F3" t="s">
        <v>22</v>
      </c>
      <c r="G3" t="s">
        <v>23</v>
      </c>
      <c r="H3" t="s">
        <v>24</v>
      </c>
    </row>
    <row r="4" spans="1:8" x14ac:dyDescent="0.3">
      <c r="A4">
        <v>100</v>
      </c>
      <c r="B4" s="4">
        <v>0.01</v>
      </c>
      <c r="C4" s="4">
        <v>0.2</v>
      </c>
      <c r="D4">
        <v>1</v>
      </c>
      <c r="E4">
        <v>100</v>
      </c>
      <c r="F4">
        <v>10</v>
      </c>
      <c r="G4" t="s">
        <v>25</v>
      </c>
      <c r="H4" t="s">
        <v>27</v>
      </c>
    </row>
    <row r="7" spans="1:8" x14ac:dyDescent="0.3">
      <c r="D7" t="s">
        <v>28</v>
      </c>
    </row>
    <row r="8" spans="1:8" x14ac:dyDescent="0.3">
      <c r="E8" t="s">
        <v>26</v>
      </c>
    </row>
    <row r="9" spans="1:8" x14ac:dyDescent="0.3">
      <c r="C9" t="s">
        <v>22</v>
      </c>
      <c r="D9" t="s">
        <v>29</v>
      </c>
      <c r="E9" t="s">
        <v>30</v>
      </c>
      <c r="F9" t="s">
        <v>31</v>
      </c>
      <c r="G9" t="s">
        <v>34</v>
      </c>
    </row>
    <row r="10" spans="1:8" x14ac:dyDescent="0.3">
      <c r="C10">
        <v>10</v>
      </c>
      <c r="D10" cm="1">
        <f t="array" ref="D10">CRRTree(A$4,E$4,D$4,B$4,C$4,C10,G$4,H$4)</f>
        <v>8.2377064813940635</v>
      </c>
      <c r="E10">
        <v>8.4333186901096084</v>
      </c>
      <c r="F10">
        <f>ABS((D11-E10)/(D10-E10))</f>
        <v>0.47998672422130656</v>
      </c>
      <c r="G10">
        <f>ABS(E10-D10)</f>
        <v>0.19561220871554497</v>
      </c>
    </row>
    <row r="11" spans="1:8" x14ac:dyDescent="0.3">
      <c r="C11">
        <v>21</v>
      </c>
      <c r="D11" cm="1">
        <f t="array" ref="D11">CRRTree(A$4,E$4,D$4,B$4,C$4,C11,G$4,H$4)</f>
        <v>8.5272099533886774</v>
      </c>
      <c r="E11">
        <v>8.4333186901096084</v>
      </c>
      <c r="F11">
        <f t="shared" ref="F11:F28" si="0">ABS((D12-E11)/(D11-E11))</f>
        <v>0.70127053753944579</v>
      </c>
      <c r="G11">
        <f t="shared" ref="G11:G29" si="1">ABS(E11-D11)</f>
        <v>9.3891263279068937E-2</v>
      </c>
    </row>
    <row r="12" spans="1:8" x14ac:dyDescent="0.3">
      <c r="C12">
        <v>30</v>
      </c>
      <c r="D12" cm="1">
        <f t="array" ref="D12">CRRTree(A$4,E$4,D$4,B$4,C$4,C12,G$4,H$4)</f>
        <v>8.3674755134396381</v>
      </c>
      <c r="E12">
        <v>8.4333186901096084</v>
      </c>
      <c r="F12">
        <f t="shared" si="0"/>
        <v>0.72849158783808921</v>
      </c>
      <c r="G12">
        <f t="shared" si="1"/>
        <v>6.5843176669970305E-2</v>
      </c>
    </row>
    <row r="13" spans="1:8" x14ac:dyDescent="0.3">
      <c r="C13">
        <v>41</v>
      </c>
      <c r="D13" cm="1">
        <f t="array" ref="D13">CRRTree(A$4,E$4,D$4,B$4,C$4,C13,G$4,H$4)</f>
        <v>8.4812848904302189</v>
      </c>
      <c r="E13">
        <v>8.4333186901096084</v>
      </c>
      <c r="F13">
        <f t="shared" si="0"/>
        <v>0.82508907272984866</v>
      </c>
      <c r="G13">
        <f t="shared" si="1"/>
        <v>4.7966200320610497E-2</v>
      </c>
    </row>
    <row r="14" spans="1:8" x14ac:dyDescent="0.3">
      <c r="C14">
        <v>50</v>
      </c>
      <c r="D14" cm="1">
        <f t="array" ref="D14">CRRTree(A$4,E$4,D$4,B$4,C$4,C14,G$4,H$4)</f>
        <v>8.3937423023647018</v>
      </c>
      <c r="E14">
        <v>8.4333186901096084</v>
      </c>
      <c r="F14">
        <f t="shared" si="0"/>
        <v>0.8138562201959586</v>
      </c>
      <c r="G14">
        <f t="shared" si="1"/>
        <v>3.9576387744906683E-2</v>
      </c>
    </row>
    <row r="15" spans="1:8" x14ac:dyDescent="0.3">
      <c r="C15">
        <v>61</v>
      </c>
      <c r="D15" cm="1">
        <f t="array" ref="D15">CRRTree(A$4,E$4,D$4,B$4,C$4,C15,G$4,H$4)</f>
        <v>8.4655281794486879</v>
      </c>
      <c r="E15">
        <v>8.4333186901096084</v>
      </c>
      <c r="F15">
        <f t="shared" si="0"/>
        <v>0.87831112561825364</v>
      </c>
      <c r="G15">
        <f t="shared" si="1"/>
        <v>3.2209489339079411E-2</v>
      </c>
    </row>
    <row r="16" spans="1:8" x14ac:dyDescent="0.3">
      <c r="C16">
        <v>70</v>
      </c>
      <c r="D16" cm="1">
        <f t="array" ref="D16">CRRTree(A$4,E$4,D$4,B$4,C$4,C16,G$4,H$4)</f>
        <v>8.4050287372726125</v>
      </c>
      <c r="E16">
        <v>8.4333186901096084</v>
      </c>
      <c r="F16">
        <f t="shared" si="0"/>
        <v>0.85701346837071901</v>
      </c>
      <c r="G16">
        <f t="shared" si="1"/>
        <v>2.828995283699598E-2</v>
      </c>
    </row>
    <row r="17" spans="3:7" x14ac:dyDescent="0.3">
      <c r="C17">
        <v>81</v>
      </c>
      <c r="D17" cm="1">
        <f t="array" ref="D17">CRRTree(A$4,E$4,D$4,B$4,C$4,C17,G$4,H$4)</f>
        <v>8.4575635607104864</v>
      </c>
      <c r="E17">
        <v>8.4333186901096084</v>
      </c>
      <c r="F17">
        <f t="shared" si="0"/>
        <v>0.90791657949409565</v>
      </c>
      <c r="G17">
        <f t="shared" si="1"/>
        <v>2.4244870600877988E-2</v>
      </c>
    </row>
    <row r="18" spans="3:7" x14ac:dyDescent="0.3">
      <c r="C18">
        <v>90</v>
      </c>
      <c r="D18" cm="1">
        <f t="array" ref="D18">CRRTree(A$4,E$4,D$4,B$4,C$4,C18,G$4,H$4)</f>
        <v>8.4113063701233823</v>
      </c>
      <c r="E18">
        <v>8.4333186901096084</v>
      </c>
      <c r="F18">
        <f t="shared" si="0"/>
        <v>0.88306048462900588</v>
      </c>
      <c r="G18">
        <f t="shared" si="1"/>
        <v>2.2012319986226103E-2</v>
      </c>
    </row>
    <row r="19" spans="3:7" x14ac:dyDescent="0.3">
      <c r="C19">
        <v>101</v>
      </c>
      <c r="D19" cm="1">
        <f t="array" ref="D19">CRRTree(A$4,E$4,D$4,B$4,C$4,C19,G$4,H$4)</f>
        <v>8.452756900064454</v>
      </c>
      <c r="E19">
        <v>8.4333186901096084</v>
      </c>
      <c r="F19">
        <f t="shared" si="0"/>
        <v>0.92676994703954996</v>
      </c>
      <c r="G19">
        <f t="shared" si="1"/>
        <v>1.9438209954845576E-2</v>
      </c>
    </row>
    <row r="20" spans="3:7" x14ac:dyDescent="0.3">
      <c r="C20">
        <v>110</v>
      </c>
      <c r="D20" cm="1">
        <f t="array" ref="D20">CRRTree(A$4,E$4,D$4,B$4,C$4,C20,G$4,H$4)</f>
        <v>8.4153039412992126</v>
      </c>
      <c r="E20">
        <v>8.4333186901096084</v>
      </c>
      <c r="F20">
        <f t="shared" si="0"/>
        <v>0.9004889671361106</v>
      </c>
      <c r="G20">
        <f t="shared" si="1"/>
        <v>1.8014748810395886E-2</v>
      </c>
    </row>
    <row r="21" spans="3:7" x14ac:dyDescent="0.3">
      <c r="C21">
        <v>121</v>
      </c>
      <c r="D21" cm="1">
        <f t="array" ref="D21">CRRTree(A$4,E$4,D$4,B$4,C$4,C21,G$4,H$4)</f>
        <v>8.4495407726590983</v>
      </c>
      <c r="E21">
        <v>8.4333186901096084</v>
      </c>
      <c r="F21">
        <f t="shared" si="0"/>
        <v>0.93982832517138315</v>
      </c>
      <c r="G21">
        <f t="shared" si="1"/>
        <v>1.6222082549489869E-2</v>
      </c>
    </row>
    <row r="22" spans="3:7" x14ac:dyDescent="0.3">
      <c r="C22">
        <v>130</v>
      </c>
      <c r="D22" cm="1">
        <f t="array" ref="D22">CRRTree(A$4,E$4,D$4,B$4,C$4,C22,G$4,H$4)</f>
        <v>8.4180727174363295</v>
      </c>
      <c r="E22">
        <v>8.4333186901096084</v>
      </c>
      <c r="F22">
        <f t="shared" si="0"/>
        <v>0.91296920050924046</v>
      </c>
      <c r="G22">
        <f t="shared" si="1"/>
        <v>1.5245972673278985E-2</v>
      </c>
    </row>
    <row r="23" spans="3:7" x14ac:dyDescent="0.3">
      <c r="C23">
        <v>141</v>
      </c>
      <c r="D23" cm="1">
        <f t="array" ref="D23">CRRTree(A$4,E$4,D$4,B$4,C$4,C23,G$4,H$4)</f>
        <v>8.4472377935921177</v>
      </c>
      <c r="E23">
        <v>8.4333186901096084</v>
      </c>
      <c r="F23">
        <f t="shared" si="0"/>
        <v>0.94940757342385507</v>
      </c>
      <c r="G23">
        <f t="shared" si="1"/>
        <v>1.3919103482509243E-2</v>
      </c>
    </row>
    <row r="24" spans="3:7" x14ac:dyDescent="0.3">
      <c r="C24">
        <v>150</v>
      </c>
      <c r="D24" cm="1">
        <f t="array" ref="D24">CRRTree(A$4,E$4,D$4,B$4,C$4,C24,G$4,H$4)</f>
        <v>8.4201037878480438</v>
      </c>
      <c r="E24">
        <v>8.4333186901096084</v>
      </c>
      <c r="F24">
        <f t="shared" si="0"/>
        <v>0.92234652878239554</v>
      </c>
      <c r="G24">
        <f t="shared" si="1"/>
        <v>1.3214902261564632E-2</v>
      </c>
    </row>
    <row r="25" spans="3:7" x14ac:dyDescent="0.3">
      <c r="C25">
        <v>161</v>
      </c>
      <c r="D25" cm="1">
        <f t="array" ref="D25">CRRTree(A$4,E$4,D$4,B$4,C$4,C25,G$4,H$4)</f>
        <v>8.4455074093387612</v>
      </c>
      <c r="E25">
        <v>8.4333186901096084</v>
      </c>
      <c r="F25">
        <f t="shared" si="0"/>
        <v>0.95673463721131591</v>
      </c>
      <c r="G25">
        <f t="shared" si="1"/>
        <v>1.2188719229152767E-2</v>
      </c>
    </row>
    <row r="26" spans="3:7" x14ac:dyDescent="0.3">
      <c r="C26">
        <v>170</v>
      </c>
      <c r="D26" cm="1">
        <f t="array" ref="D26">CRRTree(A$4,E$4,D$4,B$4,C$4,C26,G$4,H$4)</f>
        <v>8.4216573202398344</v>
      </c>
      <c r="E26">
        <v>8.4333186901096084</v>
      </c>
      <c r="F26">
        <f t="shared" si="0"/>
        <v>0.92965018280662548</v>
      </c>
      <c r="G26">
        <f t="shared" si="1"/>
        <v>1.1661369869774063E-2</v>
      </c>
    </row>
    <row r="27" spans="3:7" x14ac:dyDescent="0.3">
      <c r="C27">
        <v>181</v>
      </c>
      <c r="D27" cm="1">
        <f t="array" ref="D27">CRRTree(A$4,E$4,D$4,B$4,C$4,C27,G$4,H$4)</f>
        <v>8.4441596847408196</v>
      </c>
      <c r="E27">
        <v>8.4333186901096084</v>
      </c>
      <c r="F27">
        <f t="shared" si="0"/>
        <v>0.96252022932597647</v>
      </c>
      <c r="G27">
        <f t="shared" si="1"/>
        <v>1.0840994631211132E-2</v>
      </c>
    </row>
    <row r="28" spans="3:7" x14ac:dyDescent="0.3">
      <c r="C28">
        <v>190</v>
      </c>
      <c r="D28" cm="1">
        <f t="array" ref="D28">CRRTree(A$4,E$4,D$4,B$4,C$4,C28,G$4,H$4)</f>
        <v>8.4228840134710534</v>
      </c>
      <c r="E28">
        <v>8.4333186901096084</v>
      </c>
      <c r="F28">
        <f t="shared" si="0"/>
        <v>0.93549952338142917</v>
      </c>
      <c r="G28">
        <f t="shared" si="1"/>
        <v>1.0434676638555018E-2</v>
      </c>
    </row>
    <row r="29" spans="3:7" x14ac:dyDescent="0.3">
      <c r="C29">
        <v>201</v>
      </c>
      <c r="D29" cm="1">
        <f t="array" ref="D29">CRRTree(A$4,E$4,D$4,B$4,C$4,C29,G$4,H$4)</f>
        <v>8.443080325131616</v>
      </c>
      <c r="E29">
        <v>8.4333186901096084</v>
      </c>
      <c r="G29">
        <f t="shared" si="1"/>
        <v>9.7616350220075532E-3</v>
      </c>
    </row>
    <row r="107" spans="3:7" x14ac:dyDescent="0.3">
      <c r="D107" t="s">
        <v>35</v>
      </c>
    </row>
    <row r="108" spans="3:7" x14ac:dyDescent="0.3">
      <c r="C108" t="s">
        <v>33</v>
      </c>
    </row>
    <row r="109" spans="3:7" x14ac:dyDescent="0.3">
      <c r="C109" t="s">
        <v>22</v>
      </c>
      <c r="D109" t="s">
        <v>32</v>
      </c>
      <c r="E109" t="s">
        <v>30</v>
      </c>
      <c r="F109" t="s">
        <v>31</v>
      </c>
      <c r="G109" t="s">
        <v>34</v>
      </c>
    </row>
    <row r="110" spans="3:7" x14ac:dyDescent="0.3">
      <c r="C110">
        <v>10</v>
      </c>
      <c r="D110" cm="1">
        <f t="array" ref="D110">LeisenReimerTrunc(H$4,G$4,A$4,E$4,D$4,B$4,B$4,C$4,C110)</f>
        <v>8.4303997829056119</v>
      </c>
      <c r="E110">
        <v>8.4333186901096084</v>
      </c>
      <c r="F110">
        <f t="shared" ref="F110:F128" si="2">ABS((D111-E110)/(D110-E110))</f>
        <v>0.29122585830808617</v>
      </c>
      <c r="G110">
        <f t="shared" ref="G110:G129" si="3">ABS(D110-E110)</f>
        <v>2.918907203996568E-3</v>
      </c>
    </row>
    <row r="111" spans="3:7" x14ac:dyDescent="0.3">
      <c r="C111">
        <v>21</v>
      </c>
      <c r="D111" cm="1">
        <f t="array" ref="D111">LeisenReimerTrunc(H$4,G$4,A$4,E$4,D$4,B$4,B$4,C$4,C111)</f>
        <v>8.4324686288538029</v>
      </c>
      <c r="E111">
        <v>8.4333186901096084</v>
      </c>
      <c r="F111">
        <f t="shared" si="2"/>
        <v>0.46924792417694844</v>
      </c>
      <c r="G111">
        <f t="shared" si="3"/>
        <v>8.5006125580555647E-4</v>
      </c>
    </row>
    <row r="112" spans="3:7" x14ac:dyDescent="0.3">
      <c r="C112">
        <v>30</v>
      </c>
      <c r="D112" cm="1">
        <f t="array" ref="D112">LeisenReimerTrunc(H$4,G$4,A$4,E$4,D$4,B$4,B$4,C$4,C112)</f>
        <v>8.4329198006298984</v>
      </c>
      <c r="E112">
        <v>8.4333186901096084</v>
      </c>
      <c r="F112">
        <f t="shared" si="2"/>
        <v>0.57839473082815729</v>
      </c>
      <c r="G112">
        <f t="shared" si="3"/>
        <v>3.9888947971000732E-4</v>
      </c>
    </row>
    <row r="113" spans="3:7" x14ac:dyDescent="0.3">
      <c r="C113">
        <v>41</v>
      </c>
      <c r="D113" cm="1">
        <f t="array" ref="D113">LeisenReimerTrunc(H$4,G$4,A$4,E$4,D$4,B$4,B$4,C$4,C113)</f>
        <v>8.4330879745363614</v>
      </c>
      <c r="E113">
        <v>8.4333186901096084</v>
      </c>
      <c r="F113">
        <f t="shared" si="2"/>
        <v>0.65094506224916437</v>
      </c>
      <c r="G113">
        <f t="shared" si="3"/>
        <v>2.3071557324705338E-4</v>
      </c>
    </row>
    <row r="114" spans="3:7" x14ac:dyDescent="0.3">
      <c r="C114">
        <v>50</v>
      </c>
      <c r="D114" cm="1">
        <f t="array" ref="D114">LeisenReimerTrunc(H$4,G$4,A$4,E$4,D$4,B$4,B$4,C$4,C114)</f>
        <v>8.4331685069464193</v>
      </c>
      <c r="E114">
        <v>8.4333186901096084</v>
      </c>
      <c r="F114">
        <f t="shared" si="2"/>
        <v>0.7024107578657719</v>
      </c>
      <c r="G114">
        <f t="shared" si="3"/>
        <v>1.5018316318915481E-4</v>
      </c>
    </row>
    <row r="115" spans="3:7" x14ac:dyDescent="0.3">
      <c r="C115">
        <v>61</v>
      </c>
      <c r="D115" cm="1">
        <f t="array" ref="D115">LeisenReimerTrunc(H$4,G$4,A$4,E$4,D$4,B$4,B$4,C$4,C115)</f>
        <v>8.4332131998401341</v>
      </c>
      <c r="E115">
        <v>8.4333186901096084</v>
      </c>
      <c r="F115">
        <f t="shared" si="2"/>
        <v>0.74074146803465379</v>
      </c>
      <c r="G115">
        <f t="shared" si="3"/>
        <v>1.0549026947437312E-4</v>
      </c>
    </row>
    <row r="116" spans="3:7" x14ac:dyDescent="0.3">
      <c r="C116">
        <v>70</v>
      </c>
      <c r="D116" cm="1">
        <f t="array" ref="D116">LeisenReimerTrunc(H$4,G$4,A$4,E$4,D$4,B$4,B$4,C$4,C116)</f>
        <v>8.4332405490925346</v>
      </c>
      <c r="E116">
        <v>8.4333186901096084</v>
      </c>
      <c r="F116">
        <f t="shared" si="2"/>
        <v>0.77036826871679742</v>
      </c>
      <c r="G116">
        <f t="shared" si="3"/>
        <v>7.8141017073818375E-5</v>
      </c>
    </row>
    <row r="117" spans="3:7" x14ac:dyDescent="0.3">
      <c r="C117">
        <v>81</v>
      </c>
      <c r="D117" cm="1">
        <f t="array" ref="D117">LeisenReimerTrunc(H$4,G$4,A$4,E$4,D$4,B$4,B$4,C$4,C117)</f>
        <v>8.4332584927495695</v>
      </c>
      <c r="E117">
        <v>8.4333186901096084</v>
      </c>
      <c r="F117">
        <f t="shared" si="2"/>
        <v>0.79394139707568023</v>
      </c>
      <c r="G117">
        <f t="shared" si="3"/>
        <v>6.0197360038927172E-5</v>
      </c>
    </row>
    <row r="118" spans="3:7" x14ac:dyDescent="0.3">
      <c r="C118">
        <v>90</v>
      </c>
      <c r="D118" cm="1">
        <f t="array" ref="D118">LeisenReimerTrunc(H$4,G$4,A$4,E$4,D$4,B$4,B$4,C$4,C118)</f>
        <v>8.4332708969334789</v>
      </c>
      <c r="E118">
        <v>8.4333186901096084</v>
      </c>
      <c r="F118">
        <f t="shared" si="2"/>
        <v>0.81313824001583357</v>
      </c>
      <c r="G118">
        <f t="shared" si="3"/>
        <v>4.7793176129573567E-5</v>
      </c>
    </row>
    <row r="119" spans="3:7" x14ac:dyDescent="0.3">
      <c r="C119">
        <v>101</v>
      </c>
      <c r="D119" cm="1">
        <f t="array" ref="D119">LeisenReimerTrunc(H$4,G$4,A$4,E$4,D$4,B$4,B$4,C$4,C119)</f>
        <v>8.4332798276504857</v>
      </c>
      <c r="E119">
        <v>8.4333186901096084</v>
      </c>
      <c r="F119">
        <f t="shared" si="2"/>
        <v>0.8290708597916352</v>
      </c>
      <c r="G119">
        <f t="shared" si="3"/>
        <v>3.88624591227682E-5</v>
      </c>
    </row>
    <row r="120" spans="3:7" x14ac:dyDescent="0.3">
      <c r="C120">
        <v>110</v>
      </c>
      <c r="D120" cm="1">
        <f t="array" ref="D120">LeisenReimerTrunc(H$4,G$4,A$4,E$4,D$4,B$4,B$4,C$4,C120)</f>
        <v>8.4332864703772099</v>
      </c>
      <c r="E120">
        <v>8.4333186901096084</v>
      </c>
      <c r="F120">
        <f t="shared" si="2"/>
        <v>0.84250517437679706</v>
      </c>
      <c r="G120">
        <f t="shared" si="3"/>
        <v>3.2219732398530709E-5</v>
      </c>
    </row>
    <row r="121" spans="3:7" x14ac:dyDescent="0.3">
      <c r="C121">
        <v>121</v>
      </c>
      <c r="D121" cm="1">
        <f t="array" ref="D121">LeisenReimerTrunc(H$4,G$4,A$4,E$4,D$4,B$4,B$4,C$4,C121)</f>
        <v>8.4332915448183456</v>
      </c>
      <c r="E121">
        <v>8.4333186901096084</v>
      </c>
      <c r="F121">
        <f t="shared" si="2"/>
        <v>0.85398471485664362</v>
      </c>
      <c r="G121">
        <f t="shared" si="3"/>
        <v>2.7145291262797855E-5</v>
      </c>
    </row>
    <row r="122" spans="3:7" x14ac:dyDescent="0.3">
      <c r="C122">
        <v>130</v>
      </c>
      <c r="D122" cm="1">
        <f t="array" ref="D122">LeisenReimerTrunc(H$4,G$4,A$4,E$4,D$4,B$4,B$4,C$4,C122)</f>
        <v>8.4332955084457897</v>
      </c>
      <c r="E122">
        <v>8.4333186901096084</v>
      </c>
      <c r="F122">
        <f t="shared" si="2"/>
        <v>0.86390667678087418</v>
      </c>
      <c r="G122">
        <f t="shared" si="3"/>
        <v>2.3181663818760967E-5</v>
      </c>
    </row>
    <row r="123" spans="3:7" x14ac:dyDescent="0.3">
      <c r="C123">
        <v>141</v>
      </c>
      <c r="D123" cm="1">
        <f t="array" ref="D123">LeisenReimerTrunc(H$4,G$4,A$4,E$4,D$4,B$4,B$4,C$4,C123)</f>
        <v>8.4332986633154565</v>
      </c>
      <c r="E123">
        <v>8.4333186901096084</v>
      </c>
      <c r="F123">
        <f t="shared" si="2"/>
        <v>0.87256764722892866</v>
      </c>
      <c r="G123">
        <f t="shared" si="3"/>
        <v>2.0026794151917215E-5</v>
      </c>
    </row>
    <row r="124" spans="3:7" x14ac:dyDescent="0.3">
      <c r="C124">
        <v>150</v>
      </c>
      <c r="D124" cm="1">
        <f t="array" ref="D124">LeisenReimerTrunc(H$4,G$4,A$4,E$4,D$4,B$4,B$4,C$4,C124)</f>
        <v>8.4333012153769538</v>
      </c>
      <c r="E124">
        <v>8.4333186901096084</v>
      </c>
      <c r="F124">
        <f t="shared" si="2"/>
        <v>0.88019311312874804</v>
      </c>
      <c r="G124">
        <f t="shared" si="3"/>
        <v>1.7474732654676473E-5</v>
      </c>
    </row>
    <row r="125" spans="3:7" x14ac:dyDescent="0.3">
      <c r="C125">
        <v>161</v>
      </c>
      <c r="D125" cm="1">
        <f t="array" ref="D125">LeisenReimerTrunc(H$4,G$4,A$4,E$4,D$4,B$4,B$4,C$4,C125)</f>
        <v>8.433303308970272</v>
      </c>
      <c r="E125">
        <v>8.4333186901096084</v>
      </c>
      <c r="F125">
        <f t="shared" si="2"/>
        <v>0.88695859467043059</v>
      </c>
      <c r="G125">
        <f t="shared" si="3"/>
        <v>1.5381139336412275E-5</v>
      </c>
    </row>
    <row r="126" spans="3:7" x14ac:dyDescent="0.3">
      <c r="C126">
        <v>170</v>
      </c>
      <c r="D126" cm="1">
        <f t="array" ref="D126">LeisenReimerTrunc(H$4,G$4,A$4,E$4,D$4,B$4,B$4,C$4,C126)</f>
        <v>8.4333050476758782</v>
      </c>
      <c r="E126">
        <v>8.4333186901096084</v>
      </c>
      <c r="F126">
        <f t="shared" si="2"/>
        <v>0.89300119652631593</v>
      </c>
      <c r="G126">
        <f t="shared" si="3"/>
        <v>1.3642433730254311E-5</v>
      </c>
    </row>
    <row r="127" spans="3:7" x14ac:dyDescent="0.3">
      <c r="C127">
        <v>181</v>
      </c>
      <c r="D127" cm="1">
        <f t="array" ref="D127">LeisenReimerTrunc(H$4,G$4,A$4,E$4,D$4,B$4,B$4,C$4,C127)</f>
        <v>8.4333065073999638</v>
      </c>
      <c r="E127">
        <v>8.4333186901096084</v>
      </c>
      <c r="F127">
        <f t="shared" si="2"/>
        <v>0.89843092856675966</v>
      </c>
      <c r="G127">
        <f t="shared" si="3"/>
        <v>1.2182709644648071E-5</v>
      </c>
    </row>
    <row r="128" spans="3:7" x14ac:dyDescent="0.3">
      <c r="C128">
        <v>190</v>
      </c>
      <c r="D128" cm="1">
        <f t="array" ref="D128">LeisenReimerTrunc(H$4,G$4,A$4,E$4,D$4,B$4,B$4,C$4,C128)</f>
        <v>8.4333077447864699</v>
      </c>
      <c r="E128">
        <v>8.4333186901096084</v>
      </c>
      <c r="F128">
        <f t="shared" si="2"/>
        <v>0.90333709723714439</v>
      </c>
      <c r="G128">
        <f t="shared" si="3"/>
        <v>1.0945323138500385E-5</v>
      </c>
    </row>
    <row r="129" spans="3:7" x14ac:dyDescent="0.3">
      <c r="C129">
        <v>201</v>
      </c>
      <c r="D129" cm="1">
        <f t="array" ref="D129">LeisenReimerTrunc(H$4,G$4,A$4,E$4,D$4,B$4,B$4,C$4,C129)</f>
        <v>8.4333088027931762</v>
      </c>
      <c r="E129">
        <v>8.4333186901096084</v>
      </c>
      <c r="G129">
        <f t="shared" si="3"/>
        <v>9.8873164322554885E-6</v>
      </c>
    </row>
  </sheetData>
  <pageMargins left="0.7" right="0.7" top="0.75" bottom="0.75" header="0.3" footer="0.3"/>
  <pageSetup paperSize="9" orientation="portrait" r:id="rId1"/>
  <drawing r:id="rId2"/>
  <tableParts count="3">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2</vt:i4>
      </vt:variant>
    </vt:vector>
  </HeadingPairs>
  <TitlesOfParts>
    <vt:vector size="2" baseType="lpstr">
      <vt:lpstr>Foglio1</vt:lpstr>
      <vt:lpstr>Foglio2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Walter Martemucci</dc:creator>
  <cp:lastModifiedBy>Walter Martemucci</cp:lastModifiedBy>
  <cp:lastPrinted>2022-03-31T22:15:23Z</cp:lastPrinted>
  <dcterms:created xsi:type="dcterms:W3CDTF">2022-03-29T16:16:58Z</dcterms:created>
  <dcterms:modified xsi:type="dcterms:W3CDTF">2022-03-31T22:38:08Z</dcterms:modified>
</cp:coreProperties>
</file>